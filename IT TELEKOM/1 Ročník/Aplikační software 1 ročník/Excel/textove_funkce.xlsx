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128" documentId="8_{5EED0993-05C6-4D9E-9F0C-C58A10C86D19}" xr6:coauthVersionLast="47" xr6:coauthVersionMax="47" xr10:uidLastSave="{142CE29F-8B5C-4C37-B870-8E659D98ECE3}"/>
  <bookViews>
    <workbookView xWindow="-120" yWindow="-120" windowWidth="25440" windowHeight="15390" xr2:uid="{00000000-000D-0000-FFFF-FFFF00000000}"/>
  </bookViews>
  <sheets>
    <sheet name="Uživatel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4" i="1"/>
  <c r="G4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4" i="1"/>
  <c r="D5" i="1"/>
  <c r="D6" i="1"/>
  <c r="D7" i="1"/>
  <c r="D8" i="1"/>
  <c r="H8" i="1" s="1"/>
  <c r="D9" i="1"/>
  <c r="H9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H56" i="1" s="1"/>
  <c r="D57" i="1"/>
  <c r="D58" i="1"/>
  <c r="D59" i="1"/>
  <c r="D60" i="1"/>
  <c r="D61" i="1"/>
  <c r="D62" i="1"/>
  <c r="D63" i="1"/>
  <c r="D64" i="1"/>
  <c r="D65" i="1"/>
  <c r="D66" i="1"/>
  <c r="D67" i="1"/>
  <c r="I67" i="1" s="1"/>
  <c r="D68" i="1"/>
  <c r="D69" i="1"/>
  <c r="D70" i="1"/>
  <c r="D71" i="1"/>
  <c r="D72" i="1"/>
  <c r="D73" i="1"/>
  <c r="D74" i="1"/>
  <c r="D75" i="1"/>
  <c r="D76" i="1"/>
  <c r="D77" i="1"/>
  <c r="I77" i="1" s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H104" i="1" s="1"/>
  <c r="D105" i="1"/>
  <c r="H105" i="1" s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I125" i="1" s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H152" i="1" s="1"/>
  <c r="D153" i="1"/>
  <c r="H153" i="1" s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I173" i="1" s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H200" i="1" s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H248" i="1" s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H296" i="1" s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I461" i="1" s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4" i="1"/>
  <c r="H57" i="1" l="1"/>
  <c r="H479" i="1"/>
  <c r="H441" i="1"/>
  <c r="H393" i="1"/>
  <c r="I413" i="1"/>
  <c r="I365" i="1"/>
  <c r="I317" i="1"/>
  <c r="I269" i="1"/>
  <c r="I221" i="1"/>
  <c r="H496" i="1"/>
  <c r="I496" i="1"/>
  <c r="H484" i="1"/>
  <c r="I484" i="1"/>
  <c r="H472" i="1"/>
  <c r="I472" i="1"/>
  <c r="H460" i="1"/>
  <c r="I460" i="1"/>
  <c r="H448" i="1"/>
  <c r="I448" i="1"/>
  <c r="H436" i="1"/>
  <c r="I436" i="1"/>
  <c r="H424" i="1"/>
  <c r="I424" i="1"/>
  <c r="H412" i="1"/>
  <c r="I412" i="1"/>
  <c r="H400" i="1"/>
  <c r="I400" i="1"/>
  <c r="H388" i="1"/>
  <c r="I388" i="1"/>
  <c r="H376" i="1"/>
  <c r="I376" i="1"/>
  <c r="H364" i="1"/>
  <c r="I364" i="1"/>
  <c r="H352" i="1"/>
  <c r="I352" i="1"/>
  <c r="H340" i="1"/>
  <c r="I340" i="1"/>
  <c r="H328" i="1"/>
  <c r="I328" i="1"/>
  <c r="H316" i="1"/>
  <c r="I316" i="1"/>
  <c r="H304" i="1"/>
  <c r="I304" i="1"/>
  <c r="H292" i="1"/>
  <c r="I292" i="1"/>
  <c r="H280" i="1"/>
  <c r="I280" i="1"/>
  <c r="H268" i="1"/>
  <c r="I268" i="1"/>
  <c r="H256" i="1"/>
  <c r="I256" i="1"/>
  <c r="H244" i="1"/>
  <c r="I244" i="1"/>
  <c r="H232" i="1"/>
  <c r="I232" i="1"/>
  <c r="H220" i="1"/>
  <c r="I220" i="1"/>
  <c r="H208" i="1"/>
  <c r="I208" i="1"/>
  <c r="H196" i="1"/>
  <c r="I196" i="1"/>
  <c r="H184" i="1"/>
  <c r="I184" i="1"/>
  <c r="H172" i="1"/>
  <c r="I172" i="1"/>
  <c r="H160" i="1"/>
  <c r="I160" i="1"/>
  <c r="H148" i="1"/>
  <c r="I148" i="1"/>
  <c r="H136" i="1"/>
  <c r="I136" i="1"/>
  <c r="H124" i="1"/>
  <c r="I124" i="1"/>
  <c r="H112" i="1"/>
  <c r="I112" i="1"/>
  <c r="H100" i="1"/>
  <c r="I100" i="1"/>
  <c r="H88" i="1"/>
  <c r="I88" i="1"/>
  <c r="H76" i="1"/>
  <c r="I76" i="1"/>
  <c r="H64" i="1"/>
  <c r="I64" i="1"/>
  <c r="H52" i="1"/>
  <c r="I52" i="1"/>
  <c r="H40" i="1"/>
  <c r="I40" i="1"/>
  <c r="H458" i="1"/>
  <c r="I458" i="1"/>
  <c r="H338" i="1"/>
  <c r="I338" i="1"/>
  <c r="H194" i="1"/>
  <c r="I194" i="1"/>
  <c r="H482" i="1"/>
  <c r="I482" i="1"/>
  <c r="H374" i="1"/>
  <c r="I374" i="1"/>
  <c r="H290" i="1"/>
  <c r="I290" i="1"/>
  <c r="H218" i="1"/>
  <c r="I218" i="1"/>
  <c r="H122" i="1"/>
  <c r="I122" i="1"/>
  <c r="H86" i="1"/>
  <c r="I86" i="1"/>
  <c r="H26" i="1"/>
  <c r="I26" i="1"/>
  <c r="H493" i="1"/>
  <c r="I493" i="1"/>
  <c r="H397" i="1"/>
  <c r="I397" i="1"/>
  <c r="H349" i="1"/>
  <c r="I349" i="1"/>
  <c r="H265" i="1"/>
  <c r="I265" i="1"/>
  <c r="H205" i="1"/>
  <c r="I205" i="1"/>
  <c r="H109" i="1"/>
  <c r="I109" i="1"/>
  <c r="H73" i="1"/>
  <c r="I73" i="1"/>
  <c r="I492" i="1"/>
  <c r="H492" i="1"/>
  <c r="H420" i="1"/>
  <c r="I420" i="1"/>
  <c r="H360" i="1"/>
  <c r="I360" i="1"/>
  <c r="H312" i="1"/>
  <c r="I312" i="1"/>
  <c r="H252" i="1"/>
  <c r="I252" i="1"/>
  <c r="H216" i="1"/>
  <c r="I216" i="1"/>
  <c r="H204" i="1"/>
  <c r="I204" i="1"/>
  <c r="H192" i="1"/>
  <c r="I192" i="1"/>
  <c r="H180" i="1"/>
  <c r="I180" i="1"/>
  <c r="H168" i="1"/>
  <c r="I168" i="1"/>
  <c r="H120" i="1"/>
  <c r="I120" i="1"/>
  <c r="H108" i="1"/>
  <c r="I108" i="1"/>
  <c r="H96" i="1"/>
  <c r="I96" i="1"/>
  <c r="H84" i="1"/>
  <c r="I84" i="1"/>
  <c r="H72" i="1"/>
  <c r="I72" i="1"/>
  <c r="H60" i="1"/>
  <c r="I60" i="1"/>
  <c r="H48" i="1"/>
  <c r="I48" i="1"/>
  <c r="H36" i="1"/>
  <c r="I36" i="1"/>
  <c r="H24" i="1"/>
  <c r="I24" i="1"/>
  <c r="H12" i="1"/>
  <c r="I12" i="1"/>
  <c r="H422" i="1"/>
  <c r="I422" i="1"/>
  <c r="H362" i="1"/>
  <c r="I362" i="1"/>
  <c r="H326" i="1"/>
  <c r="I326" i="1"/>
  <c r="H266" i="1"/>
  <c r="I266" i="1"/>
  <c r="H158" i="1"/>
  <c r="I158" i="1"/>
  <c r="H74" i="1"/>
  <c r="I74" i="1"/>
  <c r="H409" i="1"/>
  <c r="I409" i="1"/>
  <c r="H325" i="1"/>
  <c r="I325" i="1"/>
  <c r="H241" i="1"/>
  <c r="I241" i="1"/>
  <c r="H133" i="1"/>
  <c r="I133" i="1"/>
  <c r="I480" i="1"/>
  <c r="H480" i="1"/>
  <c r="H444" i="1"/>
  <c r="I444" i="1"/>
  <c r="H396" i="1"/>
  <c r="I396" i="1"/>
  <c r="H348" i="1"/>
  <c r="I348" i="1"/>
  <c r="H300" i="1"/>
  <c r="I300" i="1"/>
  <c r="H240" i="1"/>
  <c r="I240" i="1"/>
  <c r="H156" i="1"/>
  <c r="I156" i="1"/>
  <c r="I503" i="1"/>
  <c r="H503" i="1"/>
  <c r="I491" i="1"/>
  <c r="H491" i="1"/>
  <c r="I467" i="1"/>
  <c r="H467" i="1"/>
  <c r="I455" i="1"/>
  <c r="H455" i="1"/>
  <c r="I431" i="1"/>
  <c r="H431" i="1"/>
  <c r="I407" i="1"/>
  <c r="H407" i="1"/>
  <c r="I383" i="1"/>
  <c r="H383" i="1"/>
  <c r="I359" i="1"/>
  <c r="H359" i="1"/>
  <c r="I335" i="1"/>
  <c r="H335" i="1"/>
  <c r="I311" i="1"/>
  <c r="H311" i="1"/>
  <c r="I287" i="1"/>
  <c r="H287" i="1"/>
  <c r="I263" i="1"/>
  <c r="H239" i="1"/>
  <c r="H191" i="1"/>
  <c r="H155" i="1"/>
  <c r="H107" i="1"/>
  <c r="H95" i="1"/>
  <c r="H59" i="1"/>
  <c r="H47" i="1"/>
  <c r="H11" i="1"/>
  <c r="H434" i="1"/>
  <c r="I434" i="1"/>
  <c r="H314" i="1"/>
  <c r="I314" i="1"/>
  <c r="H182" i="1"/>
  <c r="I182" i="1"/>
  <c r="H62" i="1"/>
  <c r="I62" i="1"/>
  <c r="H445" i="1"/>
  <c r="I445" i="1"/>
  <c r="H313" i="1"/>
  <c r="I313" i="1"/>
  <c r="H229" i="1"/>
  <c r="I229" i="1"/>
  <c r="H121" i="1"/>
  <c r="I121" i="1"/>
  <c r="H61" i="1"/>
  <c r="I61" i="1"/>
  <c r="H13" i="1"/>
  <c r="I13" i="1"/>
  <c r="I4" i="1"/>
  <c r="H4" i="1"/>
  <c r="H432" i="1"/>
  <c r="I432" i="1"/>
  <c r="H384" i="1"/>
  <c r="I384" i="1"/>
  <c r="H336" i="1"/>
  <c r="I336" i="1"/>
  <c r="H264" i="1"/>
  <c r="I264" i="1"/>
  <c r="H144" i="1"/>
  <c r="I144" i="1"/>
  <c r="I479" i="1"/>
  <c r="I443" i="1"/>
  <c r="H443" i="1"/>
  <c r="I419" i="1"/>
  <c r="H419" i="1"/>
  <c r="I395" i="1"/>
  <c r="H395" i="1"/>
  <c r="I371" i="1"/>
  <c r="H371" i="1"/>
  <c r="I347" i="1"/>
  <c r="H347" i="1"/>
  <c r="I323" i="1"/>
  <c r="H323" i="1"/>
  <c r="I299" i="1"/>
  <c r="H299" i="1"/>
  <c r="I275" i="1"/>
  <c r="H275" i="1"/>
  <c r="H251" i="1"/>
  <c r="H203" i="1"/>
  <c r="H143" i="1"/>
  <c r="H502" i="1"/>
  <c r="I502" i="1"/>
  <c r="H490" i="1"/>
  <c r="I490" i="1"/>
  <c r="H478" i="1"/>
  <c r="I478" i="1"/>
  <c r="H398" i="1"/>
  <c r="I398" i="1"/>
  <c r="H278" i="1"/>
  <c r="I278" i="1"/>
  <c r="H134" i="1"/>
  <c r="I134" i="1"/>
  <c r="H469" i="1"/>
  <c r="I469" i="1"/>
  <c r="H373" i="1"/>
  <c r="I373" i="1"/>
  <c r="H193" i="1"/>
  <c r="I193" i="1"/>
  <c r="I468" i="1"/>
  <c r="H468" i="1"/>
  <c r="H408" i="1"/>
  <c r="I408" i="1"/>
  <c r="H372" i="1"/>
  <c r="I372" i="1"/>
  <c r="H324" i="1"/>
  <c r="I324" i="1"/>
  <c r="H288" i="1"/>
  <c r="I288" i="1"/>
  <c r="H228" i="1"/>
  <c r="I228" i="1"/>
  <c r="H132" i="1"/>
  <c r="I132" i="1"/>
  <c r="I501" i="1"/>
  <c r="H501" i="1"/>
  <c r="I489" i="1"/>
  <c r="H489" i="1"/>
  <c r="I477" i="1"/>
  <c r="H477" i="1"/>
  <c r="I465" i="1"/>
  <c r="H465" i="1"/>
  <c r="I453" i="1"/>
  <c r="H453" i="1"/>
  <c r="I441" i="1"/>
  <c r="I429" i="1"/>
  <c r="H429" i="1"/>
  <c r="I417" i="1"/>
  <c r="H417" i="1"/>
  <c r="I405" i="1"/>
  <c r="H405" i="1"/>
  <c r="I393" i="1"/>
  <c r="I381" i="1"/>
  <c r="H381" i="1"/>
  <c r="I369" i="1"/>
  <c r="H369" i="1"/>
  <c r="I357" i="1"/>
  <c r="H357" i="1"/>
  <c r="I345" i="1"/>
  <c r="I333" i="1"/>
  <c r="H333" i="1"/>
  <c r="I321" i="1"/>
  <c r="H321" i="1"/>
  <c r="I309" i="1"/>
  <c r="H309" i="1"/>
  <c r="I297" i="1"/>
  <c r="I285" i="1"/>
  <c r="H285" i="1"/>
  <c r="I273" i="1"/>
  <c r="H273" i="1"/>
  <c r="I261" i="1"/>
  <c r="H261" i="1"/>
  <c r="I249" i="1"/>
  <c r="I237" i="1"/>
  <c r="H237" i="1"/>
  <c r="I225" i="1"/>
  <c r="H225" i="1"/>
  <c r="I213" i="1"/>
  <c r="H213" i="1"/>
  <c r="I201" i="1"/>
  <c r="H189" i="1"/>
  <c r="H141" i="1"/>
  <c r="H93" i="1"/>
  <c r="H45" i="1"/>
  <c r="H345" i="1"/>
  <c r="H494" i="1"/>
  <c r="I494" i="1"/>
  <c r="H410" i="1"/>
  <c r="I410" i="1"/>
  <c r="H302" i="1"/>
  <c r="I302" i="1"/>
  <c r="H206" i="1"/>
  <c r="I206" i="1"/>
  <c r="H110" i="1"/>
  <c r="I110" i="1"/>
  <c r="H50" i="1"/>
  <c r="I50" i="1"/>
  <c r="H433" i="1"/>
  <c r="I433" i="1"/>
  <c r="H301" i="1"/>
  <c r="I301" i="1"/>
  <c r="H217" i="1"/>
  <c r="I217" i="1"/>
  <c r="H157" i="1"/>
  <c r="I157" i="1"/>
  <c r="H37" i="1"/>
  <c r="I37" i="1"/>
  <c r="H25" i="1"/>
  <c r="I25" i="1"/>
  <c r="H456" i="1"/>
  <c r="I456" i="1"/>
  <c r="H276" i="1"/>
  <c r="I276" i="1"/>
  <c r="I500" i="1"/>
  <c r="H500" i="1"/>
  <c r="I488" i="1"/>
  <c r="H488" i="1"/>
  <c r="I476" i="1"/>
  <c r="H476" i="1"/>
  <c r="I464" i="1"/>
  <c r="H464" i="1"/>
  <c r="I452" i="1"/>
  <c r="H452" i="1"/>
  <c r="I440" i="1"/>
  <c r="H440" i="1"/>
  <c r="I428" i="1"/>
  <c r="H428" i="1"/>
  <c r="I416" i="1"/>
  <c r="H416" i="1"/>
  <c r="I404" i="1"/>
  <c r="H404" i="1"/>
  <c r="H392" i="1"/>
  <c r="H380" i="1"/>
  <c r="H344" i="1"/>
  <c r="H332" i="1"/>
  <c r="H284" i="1"/>
  <c r="H236" i="1"/>
  <c r="H188" i="1"/>
  <c r="H140" i="1"/>
  <c r="H92" i="1"/>
  <c r="H44" i="1"/>
  <c r="H297" i="1"/>
  <c r="H446" i="1"/>
  <c r="I446" i="1"/>
  <c r="H242" i="1"/>
  <c r="I242" i="1"/>
  <c r="H146" i="1"/>
  <c r="I146" i="1"/>
  <c r="H98" i="1"/>
  <c r="I98" i="1"/>
  <c r="H38" i="1"/>
  <c r="I38" i="1"/>
  <c r="H14" i="1"/>
  <c r="I14" i="1"/>
  <c r="H421" i="1"/>
  <c r="I421" i="1"/>
  <c r="H337" i="1"/>
  <c r="I337" i="1"/>
  <c r="H253" i="1"/>
  <c r="I253" i="1"/>
  <c r="H145" i="1"/>
  <c r="I145" i="1"/>
  <c r="H499" i="1"/>
  <c r="I499" i="1"/>
  <c r="H487" i="1"/>
  <c r="I487" i="1"/>
  <c r="H475" i="1"/>
  <c r="I475" i="1"/>
  <c r="H463" i="1"/>
  <c r="I463" i="1"/>
  <c r="H451" i="1"/>
  <c r="I451" i="1"/>
  <c r="H439" i="1"/>
  <c r="I439" i="1"/>
  <c r="H427" i="1"/>
  <c r="I427" i="1"/>
  <c r="H415" i="1"/>
  <c r="I415" i="1"/>
  <c r="H403" i="1"/>
  <c r="I403" i="1"/>
  <c r="H391" i="1"/>
  <c r="I391" i="1"/>
  <c r="H379" i="1"/>
  <c r="I379" i="1"/>
  <c r="H367" i="1"/>
  <c r="I367" i="1"/>
  <c r="H355" i="1"/>
  <c r="I355" i="1"/>
  <c r="H343" i="1"/>
  <c r="I343" i="1"/>
  <c r="H331" i="1"/>
  <c r="I331" i="1"/>
  <c r="H319" i="1"/>
  <c r="I319" i="1"/>
  <c r="H307" i="1"/>
  <c r="I307" i="1"/>
  <c r="H295" i="1"/>
  <c r="I295" i="1"/>
  <c r="I271" i="1"/>
  <c r="I259" i="1"/>
  <c r="I247" i="1"/>
  <c r="I223" i="1"/>
  <c r="I211" i="1"/>
  <c r="I199" i="1"/>
  <c r="I175" i="1"/>
  <c r="I163" i="1"/>
  <c r="I151" i="1"/>
  <c r="I127" i="1"/>
  <c r="I115" i="1"/>
  <c r="I103" i="1"/>
  <c r="I79" i="1"/>
  <c r="I55" i="1"/>
  <c r="I43" i="1"/>
  <c r="H249" i="1"/>
  <c r="H470" i="1"/>
  <c r="I470" i="1"/>
  <c r="H350" i="1"/>
  <c r="I350" i="1"/>
  <c r="H230" i="1"/>
  <c r="I230" i="1"/>
  <c r="H481" i="1"/>
  <c r="I481" i="1"/>
  <c r="H361" i="1"/>
  <c r="I361" i="1"/>
  <c r="H277" i="1"/>
  <c r="I277" i="1"/>
  <c r="H181" i="1"/>
  <c r="I181" i="1"/>
  <c r="H97" i="1"/>
  <c r="I97" i="1"/>
  <c r="H49" i="1"/>
  <c r="I49" i="1"/>
  <c r="I498" i="1"/>
  <c r="H498" i="1"/>
  <c r="I486" i="1"/>
  <c r="H486" i="1"/>
  <c r="I474" i="1"/>
  <c r="H474" i="1"/>
  <c r="I462" i="1"/>
  <c r="H462" i="1"/>
  <c r="I450" i="1"/>
  <c r="H450" i="1"/>
  <c r="I438" i="1"/>
  <c r="H438" i="1"/>
  <c r="H201" i="1"/>
  <c r="H386" i="1"/>
  <c r="I386" i="1"/>
  <c r="H254" i="1"/>
  <c r="I254" i="1"/>
  <c r="H170" i="1"/>
  <c r="I170" i="1"/>
  <c r="H457" i="1"/>
  <c r="I457" i="1"/>
  <c r="H385" i="1"/>
  <c r="I385" i="1"/>
  <c r="H289" i="1"/>
  <c r="I289" i="1"/>
  <c r="H169" i="1"/>
  <c r="I169" i="1"/>
  <c r="H85" i="1"/>
  <c r="I85" i="1"/>
  <c r="H497" i="1"/>
  <c r="I497" i="1"/>
  <c r="H485" i="1"/>
  <c r="I485" i="1"/>
  <c r="H473" i="1"/>
  <c r="I473" i="1"/>
  <c r="H461" i="1"/>
  <c r="H449" i="1"/>
  <c r="I449" i="1"/>
  <c r="H437" i="1"/>
  <c r="I437" i="1"/>
  <c r="H425" i="1"/>
  <c r="I425" i="1"/>
  <c r="H413" i="1"/>
  <c r="H401" i="1"/>
  <c r="I401" i="1"/>
  <c r="H389" i="1"/>
  <c r="I389" i="1"/>
  <c r="H377" i="1"/>
  <c r="I377" i="1"/>
  <c r="H365" i="1"/>
  <c r="H353" i="1"/>
  <c r="I353" i="1"/>
  <c r="H341" i="1"/>
  <c r="I341" i="1"/>
  <c r="H329" i="1"/>
  <c r="I329" i="1"/>
  <c r="H317" i="1"/>
  <c r="H305" i="1"/>
  <c r="I305" i="1"/>
  <c r="H293" i="1"/>
  <c r="I293" i="1"/>
  <c r="H281" i="1"/>
  <c r="I281" i="1"/>
  <c r="H269" i="1"/>
  <c r="H257" i="1"/>
  <c r="I257" i="1"/>
  <c r="H245" i="1"/>
  <c r="I245" i="1"/>
  <c r="H233" i="1"/>
  <c r="I233" i="1"/>
  <c r="H221" i="1"/>
  <c r="H209" i="1"/>
  <c r="I209" i="1"/>
  <c r="H197" i="1"/>
  <c r="I197" i="1"/>
  <c r="H185" i="1"/>
  <c r="I161" i="1"/>
  <c r="I149" i="1"/>
  <c r="I113" i="1"/>
  <c r="I101" i="1"/>
  <c r="I65" i="1"/>
  <c r="I53" i="1"/>
  <c r="I41" i="1"/>
  <c r="I29" i="1"/>
  <c r="I495" i="1"/>
  <c r="I483" i="1"/>
  <c r="I471" i="1"/>
  <c r="H459" i="1"/>
  <c r="I459" i="1"/>
  <c r="H447" i="1"/>
  <c r="I447" i="1"/>
  <c r="H435" i="1"/>
  <c r="I435" i="1"/>
  <c r="H423" i="1"/>
  <c r="I423" i="1"/>
  <c r="H411" i="1"/>
  <c r="I411" i="1"/>
  <c r="H399" i="1"/>
  <c r="I399" i="1"/>
  <c r="H387" i="1"/>
  <c r="I387" i="1"/>
  <c r="H375" i="1"/>
  <c r="I375" i="1"/>
  <c r="H363" i="1"/>
  <c r="I363" i="1"/>
  <c r="H351" i="1"/>
  <c r="I351" i="1"/>
  <c r="H339" i="1"/>
  <c r="I339" i="1"/>
  <c r="H327" i="1"/>
  <c r="I327" i="1"/>
  <c r="H315" i="1"/>
  <c r="I315" i="1"/>
  <c r="H303" i="1"/>
  <c r="I303" i="1"/>
  <c r="H291" i="1"/>
  <c r="I291" i="1"/>
  <c r="H279" i="1"/>
  <c r="I279" i="1"/>
  <c r="H267" i="1"/>
  <c r="I267" i="1"/>
  <c r="H255" i="1"/>
  <c r="I255" i="1"/>
  <c r="H243" i="1"/>
  <c r="I243" i="1"/>
  <c r="H231" i="1"/>
  <c r="I231" i="1"/>
  <c r="H219" i="1"/>
  <c r="I219" i="1"/>
  <c r="H207" i="1"/>
  <c r="I207" i="1"/>
  <c r="H195" i="1"/>
  <c r="I195" i="1"/>
  <c r="H183" i="1"/>
  <c r="I183" i="1"/>
  <c r="H171" i="1"/>
  <c r="I171" i="1"/>
  <c r="H159" i="1"/>
  <c r="I159" i="1"/>
  <c r="H147" i="1"/>
  <c r="I147" i="1"/>
  <c r="H135" i="1"/>
  <c r="I135" i="1"/>
  <c r="H123" i="1"/>
  <c r="I123" i="1"/>
  <c r="H111" i="1"/>
  <c r="I111" i="1"/>
  <c r="H99" i="1"/>
  <c r="I99" i="1"/>
  <c r="H87" i="1"/>
  <c r="I87" i="1"/>
  <c r="H75" i="1"/>
  <c r="I75" i="1"/>
  <c r="H63" i="1"/>
  <c r="I63" i="1"/>
  <c r="H51" i="1"/>
  <c r="I51" i="1"/>
  <c r="H39" i="1"/>
  <c r="I39" i="1"/>
  <c r="H27" i="1"/>
  <c r="I27" i="1"/>
  <c r="H15" i="1"/>
  <c r="I15" i="1"/>
  <c r="I251" i="1"/>
  <c r="I239" i="1"/>
  <c r="I227" i="1"/>
  <c r="I215" i="1"/>
  <c r="I203" i="1"/>
  <c r="I191" i="1"/>
  <c r="I179" i="1"/>
  <c r="I167" i="1"/>
  <c r="I155" i="1"/>
  <c r="I143" i="1"/>
  <c r="I131" i="1"/>
  <c r="I119" i="1"/>
  <c r="I107" i="1"/>
  <c r="I95" i="1"/>
  <c r="I83" i="1"/>
  <c r="I71" i="1"/>
  <c r="I59" i="1"/>
  <c r="I47" i="1"/>
  <c r="I35" i="1"/>
  <c r="I23" i="1"/>
  <c r="I11" i="1"/>
  <c r="H471" i="1"/>
  <c r="H466" i="1"/>
  <c r="I466" i="1"/>
  <c r="H454" i="1"/>
  <c r="I454" i="1"/>
  <c r="H442" i="1"/>
  <c r="I442" i="1"/>
  <c r="H430" i="1"/>
  <c r="I430" i="1"/>
  <c r="H418" i="1"/>
  <c r="I418" i="1"/>
  <c r="H406" i="1"/>
  <c r="I406" i="1"/>
  <c r="H394" i="1"/>
  <c r="I394" i="1"/>
  <c r="H382" i="1"/>
  <c r="I382" i="1"/>
  <c r="H370" i="1"/>
  <c r="I370" i="1"/>
  <c r="H358" i="1"/>
  <c r="I358" i="1"/>
  <c r="H346" i="1"/>
  <c r="I346" i="1"/>
  <c r="H334" i="1"/>
  <c r="I334" i="1"/>
  <c r="H322" i="1"/>
  <c r="I322" i="1"/>
  <c r="H310" i="1"/>
  <c r="I310" i="1"/>
  <c r="H298" i="1"/>
  <c r="I298" i="1"/>
  <c r="H286" i="1"/>
  <c r="I286" i="1"/>
  <c r="H274" i="1"/>
  <c r="I274" i="1"/>
  <c r="H262" i="1"/>
  <c r="I262" i="1"/>
  <c r="H250" i="1"/>
  <c r="I250" i="1"/>
  <c r="H238" i="1"/>
  <c r="I238" i="1"/>
  <c r="H226" i="1"/>
  <c r="I226" i="1"/>
  <c r="H214" i="1"/>
  <c r="I214" i="1"/>
  <c r="H202" i="1"/>
  <c r="I202" i="1"/>
  <c r="H190" i="1"/>
  <c r="I190" i="1"/>
  <c r="H178" i="1"/>
  <c r="I178" i="1"/>
  <c r="H166" i="1"/>
  <c r="I166" i="1"/>
  <c r="H154" i="1"/>
  <c r="I154" i="1"/>
  <c r="H142" i="1"/>
  <c r="I142" i="1"/>
  <c r="H130" i="1"/>
  <c r="I130" i="1"/>
  <c r="H118" i="1"/>
  <c r="I118" i="1"/>
  <c r="H106" i="1"/>
  <c r="I106" i="1"/>
  <c r="H94" i="1"/>
  <c r="I94" i="1"/>
  <c r="H82" i="1"/>
  <c r="I82" i="1"/>
  <c r="H70" i="1"/>
  <c r="I70" i="1"/>
  <c r="H58" i="1"/>
  <c r="I58" i="1"/>
  <c r="H46" i="1"/>
  <c r="I46" i="1"/>
  <c r="H34" i="1"/>
  <c r="I34" i="1"/>
  <c r="H22" i="1"/>
  <c r="I22" i="1"/>
  <c r="H10" i="1"/>
  <c r="I10" i="1"/>
  <c r="I189" i="1"/>
  <c r="I177" i="1"/>
  <c r="I165" i="1"/>
  <c r="I153" i="1"/>
  <c r="I141" i="1"/>
  <c r="I129" i="1"/>
  <c r="I117" i="1"/>
  <c r="I105" i="1"/>
  <c r="I93" i="1"/>
  <c r="I81" i="1"/>
  <c r="I69" i="1"/>
  <c r="I57" i="1"/>
  <c r="I45" i="1"/>
  <c r="I33" i="1"/>
  <c r="I21" i="1"/>
  <c r="I9" i="1"/>
  <c r="H495" i="1"/>
  <c r="H227" i="1"/>
  <c r="H179" i="1"/>
  <c r="H131" i="1"/>
  <c r="H83" i="1"/>
  <c r="H35" i="1"/>
  <c r="I392" i="1"/>
  <c r="I380" i="1"/>
  <c r="I368" i="1"/>
  <c r="I356" i="1"/>
  <c r="I344" i="1"/>
  <c r="I332" i="1"/>
  <c r="I320" i="1"/>
  <c r="I308" i="1"/>
  <c r="I296" i="1"/>
  <c r="I284" i="1"/>
  <c r="I272" i="1"/>
  <c r="I260" i="1"/>
  <c r="I248" i="1"/>
  <c r="I236" i="1"/>
  <c r="I224" i="1"/>
  <c r="I212" i="1"/>
  <c r="I200" i="1"/>
  <c r="I188" i="1"/>
  <c r="I176" i="1"/>
  <c r="I164" i="1"/>
  <c r="I152" i="1"/>
  <c r="I140" i="1"/>
  <c r="I128" i="1"/>
  <c r="I116" i="1"/>
  <c r="I104" i="1"/>
  <c r="I92" i="1"/>
  <c r="I80" i="1"/>
  <c r="I68" i="1"/>
  <c r="I56" i="1"/>
  <c r="I44" i="1"/>
  <c r="I32" i="1"/>
  <c r="I20" i="1"/>
  <c r="I8" i="1"/>
  <c r="H177" i="1"/>
  <c r="H129" i="1"/>
  <c r="H81" i="1"/>
  <c r="H33" i="1"/>
  <c r="H283" i="1"/>
  <c r="H271" i="1"/>
  <c r="H259" i="1"/>
  <c r="H247" i="1"/>
  <c r="H235" i="1"/>
  <c r="H223" i="1"/>
  <c r="H211" i="1"/>
  <c r="H199" i="1"/>
  <c r="H187" i="1"/>
  <c r="H175" i="1"/>
  <c r="H163" i="1"/>
  <c r="H151" i="1"/>
  <c r="H139" i="1"/>
  <c r="H127" i="1"/>
  <c r="H115" i="1"/>
  <c r="H103" i="1"/>
  <c r="H91" i="1"/>
  <c r="H79" i="1"/>
  <c r="H67" i="1"/>
  <c r="H55" i="1"/>
  <c r="H43" i="1"/>
  <c r="H31" i="1"/>
  <c r="H19" i="1"/>
  <c r="I7" i="1"/>
  <c r="H7" i="1"/>
  <c r="H368" i="1"/>
  <c r="H320" i="1"/>
  <c r="H272" i="1"/>
  <c r="H224" i="1"/>
  <c r="H176" i="1"/>
  <c r="H128" i="1"/>
  <c r="H80" i="1"/>
  <c r="H32" i="1"/>
  <c r="I31" i="1"/>
  <c r="I426" i="1"/>
  <c r="H426" i="1"/>
  <c r="I414" i="1"/>
  <c r="H414" i="1"/>
  <c r="I402" i="1"/>
  <c r="H402" i="1"/>
  <c r="I390" i="1"/>
  <c r="H390" i="1"/>
  <c r="I378" i="1"/>
  <c r="H378" i="1"/>
  <c r="I366" i="1"/>
  <c r="H366" i="1"/>
  <c r="I354" i="1"/>
  <c r="H354" i="1"/>
  <c r="I342" i="1"/>
  <c r="H342" i="1"/>
  <c r="I330" i="1"/>
  <c r="H330" i="1"/>
  <c r="I318" i="1"/>
  <c r="H318" i="1"/>
  <c r="I306" i="1"/>
  <c r="H306" i="1"/>
  <c r="I294" i="1"/>
  <c r="H294" i="1"/>
  <c r="I282" i="1"/>
  <c r="H282" i="1"/>
  <c r="I270" i="1"/>
  <c r="H270" i="1"/>
  <c r="I258" i="1"/>
  <c r="H258" i="1"/>
  <c r="I246" i="1"/>
  <c r="H246" i="1"/>
  <c r="I234" i="1"/>
  <c r="H234" i="1"/>
  <c r="I222" i="1"/>
  <c r="H222" i="1"/>
  <c r="I210" i="1"/>
  <c r="H210" i="1"/>
  <c r="I198" i="1"/>
  <c r="H198" i="1"/>
  <c r="I186" i="1"/>
  <c r="H186" i="1"/>
  <c r="I174" i="1"/>
  <c r="H174" i="1"/>
  <c r="I162" i="1"/>
  <c r="H162" i="1"/>
  <c r="I150" i="1"/>
  <c r="H150" i="1"/>
  <c r="I138" i="1"/>
  <c r="H138" i="1"/>
  <c r="I126" i="1"/>
  <c r="H126" i="1"/>
  <c r="I114" i="1"/>
  <c r="H114" i="1"/>
  <c r="I102" i="1"/>
  <c r="H102" i="1"/>
  <c r="I90" i="1"/>
  <c r="H90" i="1"/>
  <c r="I78" i="1"/>
  <c r="H78" i="1"/>
  <c r="I66" i="1"/>
  <c r="H66" i="1"/>
  <c r="I54" i="1"/>
  <c r="H54" i="1"/>
  <c r="I42" i="1"/>
  <c r="H42" i="1"/>
  <c r="I30" i="1"/>
  <c r="H30" i="1"/>
  <c r="I18" i="1"/>
  <c r="H18" i="1"/>
  <c r="I6" i="1"/>
  <c r="H6" i="1"/>
  <c r="H263" i="1"/>
  <c r="H215" i="1"/>
  <c r="H167" i="1"/>
  <c r="H119" i="1"/>
  <c r="H71" i="1"/>
  <c r="H23" i="1"/>
  <c r="I283" i="1"/>
  <c r="I235" i="1"/>
  <c r="I187" i="1"/>
  <c r="I139" i="1"/>
  <c r="I91" i="1"/>
  <c r="H173" i="1"/>
  <c r="H161" i="1"/>
  <c r="H149" i="1"/>
  <c r="H137" i="1"/>
  <c r="H125" i="1"/>
  <c r="H113" i="1"/>
  <c r="H101" i="1"/>
  <c r="H89" i="1"/>
  <c r="H77" i="1"/>
  <c r="H65" i="1"/>
  <c r="H53" i="1"/>
  <c r="H41" i="1"/>
  <c r="H29" i="1"/>
  <c r="H17" i="1"/>
  <c r="I5" i="1"/>
  <c r="H5" i="1"/>
  <c r="H165" i="1"/>
  <c r="H117" i="1"/>
  <c r="H69" i="1"/>
  <c r="H21" i="1"/>
  <c r="I185" i="1"/>
  <c r="I137" i="1"/>
  <c r="I89" i="1"/>
  <c r="I19" i="1"/>
  <c r="H28" i="1"/>
  <c r="I28" i="1"/>
  <c r="H16" i="1"/>
  <c r="I16" i="1"/>
  <c r="H483" i="1"/>
  <c r="H356" i="1"/>
  <c r="H308" i="1"/>
  <c r="H260" i="1"/>
  <c r="H212" i="1"/>
  <c r="H164" i="1"/>
  <c r="H116" i="1"/>
  <c r="H68" i="1"/>
  <c r="H20" i="1"/>
  <c r="I17" i="1"/>
</calcChain>
</file>

<file path=xl/sharedStrings.xml><?xml version="1.0" encoding="utf-8"?>
<sst xmlns="http://schemas.openxmlformats.org/spreadsheetml/2006/main" count="3013" uniqueCount="2511">
  <si>
    <t>Uživatelé</t>
  </si>
  <si>
    <t>Adresa</t>
  </si>
  <si>
    <t>Jméno</t>
  </si>
  <si>
    <t>Příjmení</t>
  </si>
  <si>
    <t>Ulice</t>
  </si>
  <si>
    <t>Město</t>
  </si>
  <si>
    <t>email</t>
  </si>
  <si>
    <t>heslo</t>
  </si>
  <si>
    <t>U Sokolovny 1181,Železnice</t>
  </si>
  <si>
    <t xml:space="preserve">     Karel</t>
  </si>
  <si>
    <t>Albert</t>
  </si>
  <si>
    <t>Stožická 92,Vodnany</t>
  </si>
  <si>
    <t>Martina</t>
  </si>
  <si>
    <t xml:space="preserve">             Capkova</t>
  </si>
  <si>
    <t>U divadla 1031,Polepy</t>
  </si>
  <si>
    <t>Vladimir</t>
  </si>
  <si>
    <t>Svoboda</t>
  </si>
  <si>
    <t>Žižkova 522,Bedihošt</t>
  </si>
  <si>
    <t xml:space="preserve">          Lumir</t>
  </si>
  <si>
    <t>Holy</t>
  </si>
  <si>
    <t>Louny 1995,Louny 1</t>
  </si>
  <si>
    <t>Kvetoslava</t>
  </si>
  <si>
    <t>Mikesova</t>
  </si>
  <si>
    <t>Suhrady 1971,Darkovice</t>
  </si>
  <si>
    <t>Jan</t>
  </si>
  <si>
    <t>Glogar</t>
  </si>
  <si>
    <t>Vrchlického 1153,Znojmo 2</t>
  </si>
  <si>
    <t xml:space="preserve">         Jana</t>
  </si>
  <si>
    <t>Zelnickova</t>
  </si>
  <si>
    <t>Školní 713,Kaplice 1</t>
  </si>
  <si>
    <t>Michal</t>
  </si>
  <si>
    <t>Kopecek</t>
  </si>
  <si>
    <t>Prokopská 1442,Nová Ves pod Pleší</t>
  </si>
  <si>
    <t>Karolina</t>
  </si>
  <si>
    <t>Haklova</t>
  </si>
  <si>
    <t>Žižkova 1118,Kralice na Hané</t>
  </si>
  <si>
    <t>Miroslava</t>
  </si>
  <si>
    <t xml:space="preserve">        Steflova</t>
  </si>
  <si>
    <t>Palackého 502,Rajnochovice</t>
  </si>
  <si>
    <t>Ivana</t>
  </si>
  <si>
    <t>Reichova</t>
  </si>
  <si>
    <t>Dašická 1048,Holice v Cechách</t>
  </si>
  <si>
    <t>Marie</t>
  </si>
  <si>
    <t>Vymazalova</t>
  </si>
  <si>
    <t>Rvačov 1251,Roudnice nad Labem</t>
  </si>
  <si>
    <t>Tomas</t>
  </si>
  <si>
    <t>Kubes</t>
  </si>
  <si>
    <t>Petrželka 1864,Kromeríž 1</t>
  </si>
  <si>
    <t>Kupska</t>
  </si>
  <si>
    <t>Ke hřišti 859,Zásmuky</t>
  </si>
  <si>
    <t>Ludmila</t>
  </si>
  <si>
    <t>Norkova</t>
  </si>
  <si>
    <t>Vostelčická 396,Vysoké Mýto</t>
  </si>
  <si>
    <t xml:space="preserve">        Miroslav</t>
  </si>
  <si>
    <t>Stanek</t>
  </si>
  <si>
    <t>Sídliště Za Chlumem 1599,Bílina 4</t>
  </si>
  <si>
    <t>Jedlicka</t>
  </si>
  <si>
    <t>Strojírenská 1481,Velká Losenice</t>
  </si>
  <si>
    <t>Natalie</t>
  </si>
  <si>
    <t>Fiserova</t>
  </si>
  <si>
    <t>Zahradní 569,Budišov u Trebíce</t>
  </si>
  <si>
    <t>Dagmar</t>
  </si>
  <si>
    <t>Karlova</t>
  </si>
  <si>
    <t>Jiráskova 57,Brodce nad Jizerou</t>
  </si>
  <si>
    <t>Karel</t>
  </si>
  <si>
    <t>Sliva</t>
  </si>
  <si>
    <t>Dašická 1815,Holice v Cechách</t>
  </si>
  <si>
    <t>Iva</t>
  </si>
  <si>
    <t>Skopkova</t>
  </si>
  <si>
    <t>Osvobození 80,Ostrava 10</t>
  </si>
  <si>
    <t>Jakub</t>
  </si>
  <si>
    <t>Dusek</t>
  </si>
  <si>
    <t>Příční 1448,Loucka u Valašského Mezirící</t>
  </si>
  <si>
    <t>Daniel</t>
  </si>
  <si>
    <t>Janus</t>
  </si>
  <si>
    <t>Nová 691,Velký Borek</t>
  </si>
  <si>
    <t>Jitka</t>
  </si>
  <si>
    <t>Smejkalova</t>
  </si>
  <si>
    <t>Větrník 1393,Studnice u Náchoda</t>
  </si>
  <si>
    <t>Miroslav</t>
  </si>
  <si>
    <t>Uvira</t>
  </si>
  <si>
    <t>Jabloňová 497,Luže</t>
  </si>
  <si>
    <t>Katerina</t>
  </si>
  <si>
    <t>Skalska</t>
  </si>
  <si>
    <t>Žerotínova 1547,Havlíckuv Brod 1</t>
  </si>
  <si>
    <t>Martin</t>
  </si>
  <si>
    <t>Simunek</t>
  </si>
  <si>
    <t>Ehrmannova 1496,Zastávka u Brna</t>
  </si>
  <si>
    <t>Pavel</t>
  </si>
  <si>
    <t>Chlubna</t>
  </si>
  <si>
    <t>Teperova 190,Modrice</t>
  </si>
  <si>
    <t>Vera</t>
  </si>
  <si>
    <t>Kubistova</t>
  </si>
  <si>
    <t>Lomená 278,Uhercice u Znojma</t>
  </si>
  <si>
    <t>Hovorka</t>
  </si>
  <si>
    <t>Smetanova 291,Prelouc</t>
  </si>
  <si>
    <t>Lukas</t>
  </si>
  <si>
    <t>Vesely</t>
  </si>
  <si>
    <t>Strmá 494,Baška</t>
  </si>
  <si>
    <t>Klingerova</t>
  </si>
  <si>
    <t>Ehrmannova 643,Veverská Bítýška</t>
  </si>
  <si>
    <t>Frantisek</t>
  </si>
  <si>
    <t>Tuma</t>
  </si>
  <si>
    <t>Větrná 1384,Babice u Uherského Hradište</t>
  </si>
  <si>
    <t>Alena</t>
  </si>
  <si>
    <t>Vasickova</t>
  </si>
  <si>
    <t>Tyršova 580,Horaždovice</t>
  </si>
  <si>
    <t>Sarka</t>
  </si>
  <si>
    <t>Prihodova</t>
  </si>
  <si>
    <t>Strmá 1852,Celadná</t>
  </si>
  <si>
    <t>Oldrich</t>
  </si>
  <si>
    <t>Sedlak</t>
  </si>
  <si>
    <t>Tyršova 719,Trebon</t>
  </si>
  <si>
    <t>Jiri</t>
  </si>
  <si>
    <t>?Dvorak</t>
  </si>
  <si>
    <t>Nové Město 1256,Dušejov</t>
  </si>
  <si>
    <t>Radomila</t>
  </si>
  <si>
    <t>Dankova</t>
  </si>
  <si>
    <t>Družstevní práce 620,Lhota pod Libcany</t>
  </si>
  <si>
    <t>Bradacova</t>
  </si>
  <si>
    <t>K Pazderně 351,Vlašim</t>
  </si>
  <si>
    <t>Skaloud</t>
  </si>
  <si>
    <t>Americká 1703,Kdyne</t>
  </si>
  <si>
    <t>Veronika</t>
  </si>
  <si>
    <t>Mullerova</t>
  </si>
  <si>
    <t>Nové Město 1745,Ledec nad Sázavou</t>
  </si>
  <si>
    <t>Filip</t>
  </si>
  <si>
    <t>Lukasek</t>
  </si>
  <si>
    <t>V Trávníkách 929,Rádlo</t>
  </si>
  <si>
    <t>Vladislav</t>
  </si>
  <si>
    <t>Bartos</t>
  </si>
  <si>
    <t>Třebčínská 927,Cholina</t>
  </si>
  <si>
    <t>Dominika</t>
  </si>
  <si>
    <t>Platenikova</t>
  </si>
  <si>
    <t>Osvobození 515,Bohumín 3</t>
  </si>
  <si>
    <t>Ondrej</t>
  </si>
  <si>
    <t>Miksovsky</t>
  </si>
  <si>
    <t>Českého odboje 992,Dobruška</t>
  </si>
  <si>
    <t>Iveta</t>
  </si>
  <si>
    <t>Janickova</t>
  </si>
  <si>
    <t>Příční 1282,Valašská Bystrice</t>
  </si>
  <si>
    <t>Kubatova</t>
  </si>
  <si>
    <t>Úzká 1118,Brezí u Mikulova</t>
  </si>
  <si>
    <t>Horvath</t>
  </si>
  <si>
    <t>Na Výsluní 1524,Dolní Brežany</t>
  </si>
  <si>
    <t>Hana</t>
  </si>
  <si>
    <t>Chudobova</t>
  </si>
  <si>
    <t>Střední 965,Kaznejov</t>
  </si>
  <si>
    <t>Josef</t>
  </si>
  <si>
    <t>Drahos</t>
  </si>
  <si>
    <t>Osnická 1885,Praha 411</t>
  </si>
  <si>
    <t>Neoral</t>
  </si>
  <si>
    <t>Dobrovského 1381,Kostelec nad Cernými Lesy</t>
  </si>
  <si>
    <t>Kubica</t>
  </si>
  <si>
    <t>Jana Šťastného 813,Kamenice</t>
  </si>
  <si>
    <t>Stepan</t>
  </si>
  <si>
    <t>Hluchnik</t>
  </si>
  <si>
    <t>Jiráskova 969,Nasavrky</t>
  </si>
  <si>
    <t>Svedova</t>
  </si>
  <si>
    <t>Na Výsluní 515,Velké Prílepy</t>
  </si>
  <si>
    <t>Jaroslava</t>
  </si>
  <si>
    <t>Cerna</t>
  </si>
  <si>
    <t>Nová 1483,Strakonice 1</t>
  </si>
  <si>
    <t>Novak</t>
  </si>
  <si>
    <t>Nové Město 1128,Ledec nad Sázavou</t>
  </si>
  <si>
    <t>Zdenka</t>
  </si>
  <si>
    <t>Soukupova</t>
  </si>
  <si>
    <t>Jabloňová 187,Tremošnice</t>
  </si>
  <si>
    <t>Horacek</t>
  </si>
  <si>
    <t>Pod Strání 1439,Hostinné</t>
  </si>
  <si>
    <t>David</t>
  </si>
  <si>
    <t>Tesarik</t>
  </si>
  <si>
    <t>Ehrmannova 1661,Domašov u Brna</t>
  </si>
  <si>
    <t>Plachy</t>
  </si>
  <si>
    <t>Hamerská 395,Rozsochatec</t>
  </si>
  <si>
    <t>Helesic</t>
  </si>
  <si>
    <t>Družstevní 139,Brandýsek</t>
  </si>
  <si>
    <t>Pivovarská 1809,Lovosice 2</t>
  </si>
  <si>
    <t>Jaroslav</t>
  </si>
  <si>
    <t xml:space="preserve">    Matejcek</t>
  </si>
  <si>
    <t>Palackého 693,Holešov</t>
  </si>
  <si>
    <t>Kamil</t>
  </si>
  <si>
    <t>Janecek</t>
  </si>
  <si>
    <t>Palackého 537,Holešov</t>
  </si>
  <si>
    <t>Prusova</t>
  </si>
  <si>
    <t>Bedřicha Smetany 1206,Jalubí</t>
  </si>
  <si>
    <t>Radek</t>
  </si>
  <si>
    <t>Jelinek</t>
  </si>
  <si>
    <t>K Lukárně 1529,Zajecov</t>
  </si>
  <si>
    <t>Jana</t>
  </si>
  <si>
    <t>Moravcova</t>
  </si>
  <si>
    <t>Partyzánská 31,Nesovice</t>
  </si>
  <si>
    <t>Komarek</t>
  </si>
  <si>
    <t>Školní 1013,Kaplice 1</t>
  </si>
  <si>
    <t>Miklikova</t>
  </si>
  <si>
    <t>Spojovací 703,Knežice u Trebíce</t>
  </si>
  <si>
    <t>Stursa</t>
  </si>
  <si>
    <t>U Křížku 1246,Pencín u Liberce</t>
  </si>
  <si>
    <t>Trcka</t>
  </si>
  <si>
    <t>V Trávníkách 1081,Tanvald</t>
  </si>
  <si>
    <t>?Novak</t>
  </si>
  <si>
    <t>Na Výsluní 202,Stríbro</t>
  </si>
  <si>
    <t>Regina</t>
  </si>
  <si>
    <t>Martinkova</t>
  </si>
  <si>
    <t>Matiegkova 615,Porící nad Sázavou</t>
  </si>
  <si>
    <t>Rudolf</t>
  </si>
  <si>
    <t>Polach</t>
  </si>
  <si>
    <t>Dělnická 1705,Zdechov</t>
  </si>
  <si>
    <t>Palek</t>
  </si>
  <si>
    <t>Na Výsluní 1896,Vrané nad Vltavou</t>
  </si>
  <si>
    <t xml:space="preserve">      Petr</t>
  </si>
  <si>
    <t>?Kucera</t>
  </si>
  <si>
    <t>Jiřího z Poděbrad 562,Jiretín pod Jedlovou</t>
  </si>
  <si>
    <t>Kratochvil</t>
  </si>
  <si>
    <t>Bártova 1719,Svitávka</t>
  </si>
  <si>
    <t>Ruzickova</t>
  </si>
  <si>
    <t>Dobrovského 1514,Moravský Krumlov</t>
  </si>
  <si>
    <t>Marek</t>
  </si>
  <si>
    <t>Volf</t>
  </si>
  <si>
    <t>Hrubínova 1533,Vrchotovy Janovice</t>
  </si>
  <si>
    <t>Cahlikova</t>
  </si>
  <si>
    <t>Vrchlického 1487,Predklášterí</t>
  </si>
  <si>
    <t>Nada</t>
  </si>
  <si>
    <t>Mudrova</t>
  </si>
  <si>
    <t>Václava Haňky 1168,Šlapanice u Brna</t>
  </si>
  <si>
    <t>Pazourek</t>
  </si>
  <si>
    <t>Dašická 292,Choltice</t>
  </si>
  <si>
    <t>Silvie</t>
  </si>
  <si>
    <t>Polakova</t>
  </si>
  <si>
    <t>Hamerská 1137,Ždírec nad Doubravou</t>
  </si>
  <si>
    <t>Kurkova</t>
  </si>
  <si>
    <t>Palackého 1892,Kalište</t>
  </si>
  <si>
    <t>Zdenek</t>
  </si>
  <si>
    <t>Vala</t>
  </si>
  <si>
    <t>Jeronýmova 895,Polná</t>
  </si>
  <si>
    <t>Macku</t>
  </si>
  <si>
    <t>Mírová 276,Strážek</t>
  </si>
  <si>
    <t>Tuckova</t>
  </si>
  <si>
    <t>Bavorovská 607,Vlachovo Brezí</t>
  </si>
  <si>
    <t>Antonin</t>
  </si>
  <si>
    <t>Kopal</t>
  </si>
  <si>
    <t>Prokopská 1831,Necín</t>
  </si>
  <si>
    <t>Roman</t>
  </si>
  <si>
    <t>Ostadal</t>
  </si>
  <si>
    <t>Vostelčická 1179,Vysoké Mýto</t>
  </si>
  <si>
    <t>Oto</t>
  </si>
  <si>
    <t>Bartosek</t>
  </si>
  <si>
    <t>Alšova 1339,Cimelice</t>
  </si>
  <si>
    <t>Miloslav</t>
  </si>
  <si>
    <t>Huml</t>
  </si>
  <si>
    <t>Dobrovského 1092,Kostelec nad Cernými Lesy</t>
  </si>
  <si>
    <t>Roznovska</t>
  </si>
  <si>
    <t>Luční 1153,Rovecné</t>
  </si>
  <si>
    <t>Eva</t>
  </si>
  <si>
    <t>Plackova</t>
  </si>
  <si>
    <t>Masarykova 1713,Breznice</t>
  </si>
  <si>
    <t>Fridrich</t>
  </si>
  <si>
    <t>Hálkova 723,Ceská Lípa 2</t>
  </si>
  <si>
    <t>Bohuslav</t>
  </si>
  <si>
    <t>Hrbac</t>
  </si>
  <si>
    <t>Bezručova 1422,Šternberk 1</t>
  </si>
  <si>
    <t>Koznar</t>
  </si>
  <si>
    <t>Školní 1619,Kaplice 1</t>
  </si>
  <si>
    <t>Robert</t>
  </si>
  <si>
    <t>Horak</t>
  </si>
  <si>
    <t>Osnická 856,Praha 111</t>
  </si>
  <si>
    <t>Kockova</t>
  </si>
  <si>
    <t>Dašická 1054,Holice v Cechách</t>
  </si>
  <si>
    <t>Anna</t>
  </si>
  <si>
    <t>Lerchova</t>
  </si>
  <si>
    <t>Družstevní 1150,Hostim</t>
  </si>
  <si>
    <t>Bartosova</t>
  </si>
  <si>
    <t>Československé legií 842,Kojetín</t>
  </si>
  <si>
    <t>Dohnal</t>
  </si>
  <si>
    <t>Alšova 596,Herálec u Havlíckova Brodu</t>
  </si>
  <si>
    <t>Gabriel</t>
  </si>
  <si>
    <t>Opltova 239,Hora Svaté Kateriny</t>
  </si>
  <si>
    <t>Gorol</t>
  </si>
  <si>
    <t>Hřbitovní 1471,Luhacovice</t>
  </si>
  <si>
    <t>Zaneta</t>
  </si>
  <si>
    <t>Mayerova</t>
  </si>
  <si>
    <t>Luční 63,Velké Mezirící</t>
  </si>
  <si>
    <t>Vondrasek</t>
  </si>
  <si>
    <t>Jabloňová 554,Chroustovice</t>
  </si>
  <si>
    <t>Jindriska</t>
  </si>
  <si>
    <t>Rapantova</t>
  </si>
  <si>
    <t>Kovářská 900,Tisá</t>
  </si>
  <si>
    <t>Petr</t>
  </si>
  <si>
    <t>Konecny</t>
  </si>
  <si>
    <t>Žižkova 826,Nezamyslice u Prostejova</t>
  </si>
  <si>
    <t>Mlýnská 541,Trešt</t>
  </si>
  <si>
    <t>Jirina</t>
  </si>
  <si>
    <t>Cernohousova</t>
  </si>
  <si>
    <t>Za Školou 1143,Brno 21</t>
  </si>
  <si>
    <t>Margit</t>
  </si>
  <si>
    <t>Salova</t>
  </si>
  <si>
    <t>Masarykova 15,Zábreh</t>
  </si>
  <si>
    <t>Stoudek</t>
  </si>
  <si>
    <t>Družstevní 1260,Zbiroh</t>
  </si>
  <si>
    <t>Pod Strání 236,Hostinné</t>
  </si>
  <si>
    <t>Sergii</t>
  </si>
  <si>
    <t>Silhan</t>
  </si>
  <si>
    <t>Klimenta Čermáka 1026,Cáslav</t>
  </si>
  <si>
    <t>Lenka</t>
  </si>
  <si>
    <t>Dolezalova</t>
  </si>
  <si>
    <t>Příkopy 1635,Ústí nad Orlicí 1</t>
  </si>
  <si>
    <t>Conka</t>
  </si>
  <si>
    <t>Zahradní 1384,Cechtín</t>
  </si>
  <si>
    <t>Stanislav</t>
  </si>
  <si>
    <t>Slavicek</t>
  </si>
  <si>
    <t>Za učilištěm 734,Dobrá</t>
  </si>
  <si>
    <t>Lucie</t>
  </si>
  <si>
    <t>Kratochvilova</t>
  </si>
  <si>
    <t>Švermova 1852,Liberec 6</t>
  </si>
  <si>
    <t>Kubasek</t>
  </si>
  <si>
    <t>Klimenta Čermáka 100,Cáslav</t>
  </si>
  <si>
    <t>Krejci</t>
  </si>
  <si>
    <t>V Zahradách 1552,Prerov 2</t>
  </si>
  <si>
    <t>?Svoboda</t>
  </si>
  <si>
    <t>Sokolská 1923,Dukovany-elektrárna</t>
  </si>
  <si>
    <t>Helena</t>
  </si>
  <si>
    <t>Borovickova</t>
  </si>
  <si>
    <t>Truhlářská 788,Pacov</t>
  </si>
  <si>
    <t>Tylova 918,Ostrov nad Ohrí</t>
  </si>
  <si>
    <t>Milan</t>
  </si>
  <si>
    <t>Hegr</t>
  </si>
  <si>
    <t>Na Kopečku 241,Nechanice</t>
  </si>
  <si>
    <t>Zdarsky</t>
  </si>
  <si>
    <t>Barákova 619,Škvorec</t>
  </si>
  <si>
    <t>Klaudie</t>
  </si>
  <si>
    <t>Kureckova</t>
  </si>
  <si>
    <t>Pivovarská 1660,Velemín</t>
  </si>
  <si>
    <t>?Prochazka</t>
  </si>
  <si>
    <t>Dobrovského 897,Kostelec nad Cernými Lesy</t>
  </si>
  <si>
    <t>Zuzana</t>
  </si>
  <si>
    <t>Nedvedova</t>
  </si>
  <si>
    <t>Větrník 1302,Cervený Kostelec</t>
  </si>
  <si>
    <t>Dvořákova 1248,Ondrejov</t>
  </si>
  <si>
    <t>Lubos</t>
  </si>
  <si>
    <t>Matal</t>
  </si>
  <si>
    <t>Bratří Čapků 82,Bohuslavice nad Metují</t>
  </si>
  <si>
    <t>Pavlina</t>
  </si>
  <si>
    <t>Hlavata</t>
  </si>
  <si>
    <t>Čechova 533,Miretice u Hlinska</t>
  </si>
  <si>
    <t>Bohumil</t>
  </si>
  <si>
    <t>Sopik</t>
  </si>
  <si>
    <t>Erbenova 376,Opocno</t>
  </si>
  <si>
    <t>Jaros</t>
  </si>
  <si>
    <t>Bezručova 1383,Hanušovice</t>
  </si>
  <si>
    <t>Petrik</t>
  </si>
  <si>
    <t>Luční 1595,Rovecné</t>
  </si>
  <si>
    <t>?Cerny</t>
  </si>
  <si>
    <t>Větrná 1116,Slavkov u Brna</t>
  </si>
  <si>
    <t>Kubelka</t>
  </si>
  <si>
    <t>Osvobození 357,Ostrava 28</t>
  </si>
  <si>
    <t>Irina</t>
  </si>
  <si>
    <t>Jirku</t>
  </si>
  <si>
    <t>Nerudova 484,Ceské Budejovice 6</t>
  </si>
  <si>
    <t>Straka</t>
  </si>
  <si>
    <t>Hřbitovní 1424,Štítná nad Vlárí</t>
  </si>
  <si>
    <t>Daria</t>
  </si>
  <si>
    <t>Jiráskova 1566,Slatinany</t>
  </si>
  <si>
    <t>Danuse</t>
  </si>
  <si>
    <t>Hajkova</t>
  </si>
  <si>
    <t>Nerudova 659,Ceské Budejovice 7</t>
  </si>
  <si>
    <t>Sucha</t>
  </si>
  <si>
    <t>Masarykova 1998,Zábreh</t>
  </si>
  <si>
    <t>Gertruda</t>
  </si>
  <si>
    <t>Lukesova</t>
  </si>
  <si>
    <t>Lomená 1597,Tavíkovice</t>
  </si>
  <si>
    <t>Tvrda</t>
  </si>
  <si>
    <t>Příční 275,Choryne</t>
  </si>
  <si>
    <t>Jarkovsky</t>
  </si>
  <si>
    <t>Jana Nerudy 1465,Turnov 1</t>
  </si>
  <si>
    <t>Jičín 1813,Jicín 1</t>
  </si>
  <si>
    <t>Rozek</t>
  </si>
  <si>
    <t>Bedřicha Smetany 90,Zlechov</t>
  </si>
  <si>
    <t>Vacek</t>
  </si>
  <si>
    <t>Budovatelská 698,Blatná</t>
  </si>
  <si>
    <t>Vychodil</t>
  </si>
  <si>
    <t>Kovářská 240,Telnice</t>
  </si>
  <si>
    <t>Strejcek</t>
  </si>
  <si>
    <t>Strojírenská 1213,Fryšava pod Žákovou horou</t>
  </si>
  <si>
    <t>Levy</t>
  </si>
  <si>
    <t>Louny 590,Louny 1</t>
  </si>
  <si>
    <t>Tomecek</t>
  </si>
  <si>
    <t>Mírová 873,Bobrová</t>
  </si>
  <si>
    <t>Vaneckova</t>
  </si>
  <si>
    <t>Štefanikova 1500,Olešnice na Morave</t>
  </si>
  <si>
    <t>Landova</t>
  </si>
  <si>
    <t>Kovářská 1630,Decín 5</t>
  </si>
  <si>
    <t>Canda</t>
  </si>
  <si>
    <t>Tylova 545,Karlovy Vary 1</t>
  </si>
  <si>
    <t>Nguyen</t>
  </si>
  <si>
    <t>Havlíčkova 1918,Kamenné Žehrovice</t>
  </si>
  <si>
    <t>Martan</t>
  </si>
  <si>
    <t>U medvídků 376,Višnová u Príbrame</t>
  </si>
  <si>
    <t>Radova</t>
  </si>
  <si>
    <t>Za učilištěm 1325,Nový Jicín 1</t>
  </si>
  <si>
    <t>Beran</t>
  </si>
  <si>
    <t>Za humny 1414,Milevsko 1</t>
  </si>
  <si>
    <t>Burianova</t>
  </si>
  <si>
    <t>U Sokolovny 1636,Libun</t>
  </si>
  <si>
    <t>Drahomira</t>
  </si>
  <si>
    <t>Hasmanova</t>
  </si>
  <si>
    <t>Pivovarská 1709,Lochovice</t>
  </si>
  <si>
    <t>Kadlec</t>
  </si>
  <si>
    <t>U Křížku 157,Frýdlant v Cechách</t>
  </si>
  <si>
    <t>Kral</t>
  </si>
  <si>
    <t>Střední 268,Manetín</t>
  </si>
  <si>
    <t>Michaela</t>
  </si>
  <si>
    <t>Korinkova</t>
  </si>
  <si>
    <t>Vrchlického 1663,Tišnov 1</t>
  </si>
  <si>
    <t>Truhlářská 439,Pacov</t>
  </si>
  <si>
    <t>Dobromila</t>
  </si>
  <si>
    <t>Smolikova</t>
  </si>
  <si>
    <t>Bavorovská 1775,Stachy</t>
  </si>
  <si>
    <t>Svec</t>
  </si>
  <si>
    <t>Hálkova 726,Prysk</t>
  </si>
  <si>
    <t>Stastny</t>
  </si>
  <si>
    <t>Partyzánská 21,Chvalkovice v Cechách</t>
  </si>
  <si>
    <t>Berousek</t>
  </si>
  <si>
    <t>Lidická 484,Litomyšl</t>
  </si>
  <si>
    <t>Ruzena</t>
  </si>
  <si>
    <t>Jeronýmova 638,Polná</t>
  </si>
  <si>
    <t>Marta</t>
  </si>
  <si>
    <t>Kolajova</t>
  </si>
  <si>
    <t>Na Průhonu 644,Plzen 18</t>
  </si>
  <si>
    <t>Vavrikova</t>
  </si>
  <si>
    <t>Bartákova 215,Slezské Rudoltice</t>
  </si>
  <si>
    <t>Brzobohata</t>
  </si>
  <si>
    <t>Na Průhonu 244,Plzen 27</t>
  </si>
  <si>
    <t>Nová 611,Mšeno u Melníka</t>
  </si>
  <si>
    <t>Kozisek</t>
  </si>
  <si>
    <t>Mírová 1523,Bobrová</t>
  </si>
  <si>
    <t>Richtrova</t>
  </si>
  <si>
    <t>Pivovarská 130,Trebívlice</t>
  </si>
  <si>
    <t>Milena</t>
  </si>
  <si>
    <t>Balazova</t>
  </si>
  <si>
    <t>Barákova 823,Mratín</t>
  </si>
  <si>
    <t>Ludek</t>
  </si>
  <si>
    <t>Kulhanek</t>
  </si>
  <si>
    <t>Dukelská 1781,Odry</t>
  </si>
  <si>
    <t>Stejskalova</t>
  </si>
  <si>
    <t>Matiegkova 1228,Divišov</t>
  </si>
  <si>
    <t>Vlastimil</t>
  </si>
  <si>
    <t>Fiser</t>
  </si>
  <si>
    <t>Hřbitovní 747,Štítná nad Vlárí</t>
  </si>
  <si>
    <t>Horakova</t>
  </si>
  <si>
    <t>Družstevní 1868,Horní Nemcí</t>
  </si>
  <si>
    <t>Prazak</t>
  </si>
  <si>
    <t>V Aleji 465,Skalná</t>
  </si>
  <si>
    <t>Pisarikova</t>
  </si>
  <si>
    <t>Bratří Čapků 1178,Bílá Tremešná</t>
  </si>
  <si>
    <t>Roubicek</t>
  </si>
  <si>
    <t>Barákova 1043,Káraný</t>
  </si>
  <si>
    <t>Libor</t>
  </si>
  <si>
    <t>Rusek</t>
  </si>
  <si>
    <t>Truhlářská 1944,Pacov</t>
  </si>
  <si>
    <t>Belohlavek</t>
  </si>
  <si>
    <t>Tylova 690,Jaromerice u Jevícka</t>
  </si>
  <si>
    <t>Placek</t>
  </si>
  <si>
    <t>Lidická 1784,Litomyšl</t>
  </si>
  <si>
    <t>Patka</t>
  </si>
  <si>
    <t>Opltova 1752,Cítoliby</t>
  </si>
  <si>
    <t>Kucera</t>
  </si>
  <si>
    <t>Strmá 1315,Ceský Tešín 1</t>
  </si>
  <si>
    <t>Matej</t>
  </si>
  <si>
    <t>Krenek</t>
  </si>
  <si>
    <t>Za humny 1826,Milevsko 1</t>
  </si>
  <si>
    <t>Turek</t>
  </si>
  <si>
    <t>Jičín 824,Jicín 1</t>
  </si>
  <si>
    <t>Gavendova</t>
  </si>
  <si>
    <t>Havlíčkova 710,Kladno 3</t>
  </si>
  <si>
    <t>Machalkova</t>
  </si>
  <si>
    <t>Družstevní 730,Volduchy</t>
  </si>
  <si>
    <t>Lidická 938,Provodín</t>
  </si>
  <si>
    <t>Dvorak</t>
  </si>
  <si>
    <t>Za učilištěm 1699,Bystrice nad Olší</t>
  </si>
  <si>
    <t>Romana</t>
  </si>
  <si>
    <t>Prochazkova</t>
  </si>
  <si>
    <t>Osnická 1325,Praha 511</t>
  </si>
  <si>
    <t>Popovic</t>
  </si>
  <si>
    <t>Na Průhonu 657,Mnichovo Hradište</t>
  </si>
  <si>
    <t>Na Výsluní 806,Planá u Mariánských Lázní</t>
  </si>
  <si>
    <t>Mlýnská 1417,Štíty</t>
  </si>
  <si>
    <t>Linhart</t>
  </si>
  <si>
    <t>Partyzánská 450,Jaromer 1</t>
  </si>
  <si>
    <t>Adam</t>
  </si>
  <si>
    <t>Havlíčkova 396,Most 1</t>
  </si>
  <si>
    <t>Cardova</t>
  </si>
  <si>
    <t>Jana Šťastného 1374,Mníšek pod Brdy</t>
  </si>
  <si>
    <t>Kocourkova</t>
  </si>
  <si>
    <t>Strojírenská 360,Svratka</t>
  </si>
  <si>
    <t>Novotna</t>
  </si>
  <si>
    <t>Poštovní 672,Skalsko</t>
  </si>
  <si>
    <t>V Trávníkách 1784,Tanvald</t>
  </si>
  <si>
    <t>Emil</t>
  </si>
  <si>
    <t>Knizek</t>
  </si>
  <si>
    <t>Žižkova 1286,Klenovice na Hané</t>
  </si>
  <si>
    <t>Kubala</t>
  </si>
  <si>
    <t>Nezvalova 287,Jankov</t>
  </si>
  <si>
    <t>Masarykova 30,Humpolec</t>
  </si>
  <si>
    <t>Petra</t>
  </si>
  <si>
    <t>Capkova</t>
  </si>
  <si>
    <t>Na Výsluní 150,Jistebnice</t>
  </si>
  <si>
    <t>Ivan</t>
  </si>
  <si>
    <t>Broz</t>
  </si>
  <si>
    <t>Havlíčkova 1420,Petipsy</t>
  </si>
  <si>
    <t>Sylvie</t>
  </si>
  <si>
    <t>Medkova</t>
  </si>
  <si>
    <t>Družstevní 674,Zbiroh</t>
  </si>
  <si>
    <t>Spevacek</t>
  </si>
  <si>
    <t>U divadla 612,Hrobce</t>
  </si>
  <si>
    <t>K Pazderně 32,Vlašim</t>
  </si>
  <si>
    <t>Kamenikova</t>
  </si>
  <si>
    <t>Americká 1270,Kdyne</t>
  </si>
  <si>
    <t>Slavik</t>
  </si>
  <si>
    <t>Sokolovská 28,Bruntál 1</t>
  </si>
  <si>
    <t>Eliska</t>
  </si>
  <si>
    <t>Frantova</t>
  </si>
  <si>
    <t>Sokolská 259,Bobnice</t>
  </si>
  <si>
    <t>Hartmann</t>
  </si>
  <si>
    <t>Družstevní 496,Brasy 1</t>
  </si>
  <si>
    <t>Christian</t>
  </si>
  <si>
    <t>Sigut</t>
  </si>
  <si>
    <t>Školní 1590,Brasy 1</t>
  </si>
  <si>
    <t>Vanda</t>
  </si>
  <si>
    <t>Větrník 158,Studnice u Náchoda</t>
  </si>
  <si>
    <t>Simkova</t>
  </si>
  <si>
    <t>Alšova 1847,Vráž u Písku</t>
  </si>
  <si>
    <t>Bohata</t>
  </si>
  <si>
    <t>V Zahradách 1125,Prerov 2</t>
  </si>
  <si>
    <t>Hrbackova</t>
  </si>
  <si>
    <t>Fibichova 985,Libechov</t>
  </si>
  <si>
    <t>Moravec</t>
  </si>
  <si>
    <t>Větrná 279,Slavkov u Brna</t>
  </si>
  <si>
    <t>Kopecna</t>
  </si>
  <si>
    <t>Stožická 1764,Vodnany</t>
  </si>
  <si>
    <t>Irena</t>
  </si>
  <si>
    <t>Honsova</t>
  </si>
  <si>
    <t>Köhlerova 1849,Vlkoš u Kyjova</t>
  </si>
  <si>
    <t>Vlasta</t>
  </si>
  <si>
    <t>Hamplova</t>
  </si>
  <si>
    <t>Kovářská 1531,Ústí nad Labem 2</t>
  </si>
  <si>
    <t>Čechova 997,Miretice u Hlinska</t>
  </si>
  <si>
    <t>Ladislav</t>
  </si>
  <si>
    <t>Tomes</t>
  </si>
  <si>
    <t>V Zahradách 1589,Brodek u Prerova</t>
  </si>
  <si>
    <t>Sedova</t>
  </si>
  <si>
    <t>Pivovarská 607,Toužim</t>
  </si>
  <si>
    <t>Skrivanek</t>
  </si>
  <si>
    <t>Sokolská 1373,Lesonice</t>
  </si>
  <si>
    <t>Grunt</t>
  </si>
  <si>
    <t>Havlíčkova 85,Kacice</t>
  </si>
  <si>
    <t>Janouskova</t>
  </si>
  <si>
    <t>Za Školou 677,Brno 42</t>
  </si>
  <si>
    <t>Kabelac</t>
  </si>
  <si>
    <t>Lesní 258,Jablonné nad Orlicí</t>
  </si>
  <si>
    <t>Kyselova</t>
  </si>
  <si>
    <t>Vostelčická 992,Svitavy 2</t>
  </si>
  <si>
    <t>Trnecka</t>
  </si>
  <si>
    <t>Dvořákova 406,Rícany u Prahy</t>
  </si>
  <si>
    <t>Anezka</t>
  </si>
  <si>
    <t>Zivna</t>
  </si>
  <si>
    <t>U Parku 1681,Borek</t>
  </si>
  <si>
    <t>Nerudova 693,Dobrá Voda u Ceských Budejovic</t>
  </si>
  <si>
    <t>Klas</t>
  </si>
  <si>
    <t>V Zahradách 686,Vítkov 1</t>
  </si>
  <si>
    <t>Puncocharova</t>
  </si>
  <si>
    <t>Školní 1912,Nebahovy</t>
  </si>
  <si>
    <t>Zouhar</t>
  </si>
  <si>
    <t>Nová 1872,Mšeno u Melníka</t>
  </si>
  <si>
    <t>Karasova</t>
  </si>
  <si>
    <t>Lomená 1251,Uhercice u Znojma</t>
  </si>
  <si>
    <t>Monika</t>
  </si>
  <si>
    <t>Krizova</t>
  </si>
  <si>
    <t>Kovářská 1718,Decín 5</t>
  </si>
  <si>
    <t>Schaferova</t>
  </si>
  <si>
    <t>Družstevní 1364,Rokycany 1</t>
  </si>
  <si>
    <t>Ferko</t>
  </si>
  <si>
    <t>Spodní Pustá 346,Hustopece u Brna</t>
  </si>
  <si>
    <t>Boleslav</t>
  </si>
  <si>
    <t>Faltus</t>
  </si>
  <si>
    <t>Masarykova 448,Breznice</t>
  </si>
  <si>
    <t>Sladek</t>
  </si>
  <si>
    <t>Hálkova 1533,Volfartice</t>
  </si>
  <si>
    <t>Juricova</t>
  </si>
  <si>
    <t>Pod Floriánem 514,Pelhrimov</t>
  </si>
  <si>
    <t>Polní 1480,Bezverov</t>
  </si>
  <si>
    <t>Kristyna</t>
  </si>
  <si>
    <t>Vostrelova</t>
  </si>
  <si>
    <t>Vrchlického 857,Tišnov 3</t>
  </si>
  <si>
    <t>Kolarova</t>
  </si>
  <si>
    <t>U Trati 1523,Sušice 1</t>
  </si>
  <si>
    <t>Slezak</t>
  </si>
  <si>
    <t>Na Loučkách 1458,Adamov 1</t>
  </si>
  <si>
    <t>Sibor</t>
  </si>
  <si>
    <t>Bartákova 1114,Dvorce u Bruntálu</t>
  </si>
  <si>
    <t>Kalenda</t>
  </si>
  <si>
    <t>U divadla 1831,Teplice 1</t>
  </si>
  <si>
    <t>Kutalek</t>
  </si>
  <si>
    <t>Lidická 1330,Litomyšl</t>
  </si>
  <si>
    <t>Viktorie</t>
  </si>
  <si>
    <t>Sykorova</t>
  </si>
  <si>
    <t>Pod Strání 1958,Dvur Králové nad Labem</t>
  </si>
  <si>
    <t>Tylova 83,Hroznetín</t>
  </si>
  <si>
    <t>Hartl</t>
  </si>
  <si>
    <t>Jiráskova 237,Slatinany</t>
  </si>
  <si>
    <t>Kula</t>
  </si>
  <si>
    <t>Budovatelská 1033,Bavorov</t>
  </si>
  <si>
    <t>Mestan</t>
  </si>
  <si>
    <t>Luční 1400,Rovecné</t>
  </si>
  <si>
    <t>Sadovsky</t>
  </si>
  <si>
    <t>Jindřichova 126,Jindrichuv Hradec 1</t>
  </si>
  <si>
    <t>Nikola</t>
  </si>
  <si>
    <t>Pinkasova</t>
  </si>
  <si>
    <t>Sluneční 1790,Velké Heraltice</t>
  </si>
  <si>
    <t>Frohlichova</t>
  </si>
  <si>
    <t>Luční 1528,Bystrice nad Pernštejnem</t>
  </si>
  <si>
    <t>Radil</t>
  </si>
  <si>
    <t>Tyršova 1887,Strmilov</t>
  </si>
  <si>
    <t>Patrik</t>
  </si>
  <si>
    <t>Kapoun</t>
  </si>
  <si>
    <t>Dvořákova 155,Rícany u Prahy</t>
  </si>
  <si>
    <t>Kocourek</t>
  </si>
  <si>
    <t>Bratří Čapků 567,Náchod 1</t>
  </si>
  <si>
    <t>Jurecka</t>
  </si>
  <si>
    <t>Žižkova 1319,Kralice na Hané</t>
  </si>
  <si>
    <t>Horackova</t>
  </si>
  <si>
    <t>V Zahradách 413,Brodek u Prerova</t>
  </si>
  <si>
    <t>Holusa</t>
  </si>
  <si>
    <t>K Pazderně 191,Smilkov</t>
  </si>
  <si>
    <t>Krajcovic</t>
  </si>
  <si>
    <t>Příkopy 1504,Lanškroun</t>
  </si>
  <si>
    <t>Andrle</t>
  </si>
  <si>
    <t>Střední 1201,Dolní Belá</t>
  </si>
  <si>
    <t>Jičín 709,Jicín 1</t>
  </si>
  <si>
    <t>Vymazal</t>
  </si>
  <si>
    <t>Na Loučkách 721,Jedovnice</t>
  </si>
  <si>
    <t>Souralova</t>
  </si>
  <si>
    <t>Dobrovského 1207,Trebíc 1</t>
  </si>
  <si>
    <t>Skoda</t>
  </si>
  <si>
    <t>Jana Šťastného 43,Kamenice</t>
  </si>
  <si>
    <t>Kovářská 1954,Ústí nad Labem 2</t>
  </si>
  <si>
    <t>Doubravova</t>
  </si>
  <si>
    <t>Jana Nerudy 765,Nová Paka</t>
  </si>
  <si>
    <t>Marcel</t>
  </si>
  <si>
    <t>U divadla 867,Teplice 1</t>
  </si>
  <si>
    <t>Rysavy</t>
  </si>
  <si>
    <t>Ke hřišti 581,Týnec nad Labem</t>
  </si>
  <si>
    <t>Dedic</t>
  </si>
  <si>
    <t>Nové Město 735,Dušejov</t>
  </si>
  <si>
    <t>Na Průhonu 769,Mnichovo Hradište</t>
  </si>
  <si>
    <t>?Horak</t>
  </si>
  <si>
    <t>Družstevní 317,Holoubkov</t>
  </si>
  <si>
    <t>Havlíčkova 1722,Dobríš</t>
  </si>
  <si>
    <t>Halfarova</t>
  </si>
  <si>
    <t>U Parku 1519,Borek</t>
  </si>
  <si>
    <t>Gorolova</t>
  </si>
  <si>
    <t>Střední 883,Stod</t>
  </si>
  <si>
    <t>Petras</t>
  </si>
  <si>
    <t>Dobrovského 1582,Trebíc 1</t>
  </si>
  <si>
    <t>Chytilova</t>
  </si>
  <si>
    <t>Bratří Čapků 32,Nové Mesto nad Metují 1</t>
  </si>
  <si>
    <t>Poul</t>
  </si>
  <si>
    <t>Na Kopci 497,Sezemice</t>
  </si>
  <si>
    <t>Liska</t>
  </si>
  <si>
    <t>Jiřího z Poděbrad 413,Vernerice</t>
  </si>
  <si>
    <t>Luksova</t>
  </si>
  <si>
    <t>Havlíčkova 624,Výsluní</t>
  </si>
  <si>
    <t>Rak</t>
  </si>
  <si>
    <t>Příkopy 400,Ústí nad Orlicí 1</t>
  </si>
  <si>
    <t>Benesova</t>
  </si>
  <si>
    <t>Nové Město 1,Ledec nad Sázavou</t>
  </si>
  <si>
    <t>Radka</t>
  </si>
  <si>
    <t>Jabloňová 119,Luže</t>
  </si>
  <si>
    <t>Miluse</t>
  </si>
  <si>
    <t>Masterova</t>
  </si>
  <si>
    <t>Suhrady 735,Ludgerovice</t>
  </si>
  <si>
    <t>Prochazka</t>
  </si>
  <si>
    <t>Nová 1626,Mšeno u Melníka</t>
  </si>
  <si>
    <t>Vladimira</t>
  </si>
  <si>
    <t>Pospisilova</t>
  </si>
  <si>
    <t>U Sokolovny 1763,Nový Bydžov</t>
  </si>
  <si>
    <t>Vlastislav</t>
  </si>
  <si>
    <t>Repa</t>
  </si>
  <si>
    <t>Hálkova 1508,Stráž pod Ralskem</t>
  </si>
  <si>
    <t>Krausova</t>
  </si>
  <si>
    <t>U Křížku 990,Frýdlant v Cechách</t>
  </si>
  <si>
    <t>Machacek</t>
  </si>
  <si>
    <t>Za humny 250,Milevsko 1</t>
  </si>
  <si>
    <t>Kejvalova</t>
  </si>
  <si>
    <t>U Křížku 328,Jablonec nad Nisou 4</t>
  </si>
  <si>
    <t>Hrdinova</t>
  </si>
  <si>
    <t>Vrchlického 326,Znojmo 2</t>
  </si>
  <si>
    <t>Klimenta Čermáka 1759,Cáslav</t>
  </si>
  <si>
    <t>Marcela</t>
  </si>
  <si>
    <t>Novakova</t>
  </si>
  <si>
    <t>Jana Šťastného 1221,Hvozdnice</t>
  </si>
  <si>
    <t>Zednikova</t>
  </si>
  <si>
    <t>U Křížku 1657,Frýdlant v Cechách</t>
  </si>
  <si>
    <t>Ema</t>
  </si>
  <si>
    <t>Stiborova</t>
  </si>
  <si>
    <t>Dobrovského 1723,Kostelec nad Cernými Lesy</t>
  </si>
  <si>
    <t>Provaznikova</t>
  </si>
  <si>
    <t>Družstevní 399,Unhošt</t>
  </si>
  <si>
    <t>Bozena</t>
  </si>
  <si>
    <t>Forejtova</t>
  </si>
  <si>
    <t>Petrželka 966,Zdounky</t>
  </si>
  <si>
    <t>Valerie</t>
  </si>
  <si>
    <t>Hrabetova</t>
  </si>
  <si>
    <t>V Zahradách 1987,Domaželice u Prerova</t>
  </si>
  <si>
    <t>Maria</t>
  </si>
  <si>
    <t>Zetkova</t>
  </si>
  <si>
    <t>Palackého 1552,Kostelec u Holešova</t>
  </si>
  <si>
    <t>Renata</t>
  </si>
  <si>
    <t>Jindrichova</t>
  </si>
  <si>
    <t>Rvačov 1564,Roudnice nad Labem</t>
  </si>
  <si>
    <t>Zatloukal</t>
  </si>
  <si>
    <t>Pivovarská 1223,Lovosice 2</t>
  </si>
  <si>
    <t>Vodehnal</t>
  </si>
  <si>
    <t>Havlíčkova 565,Mšec</t>
  </si>
  <si>
    <t>Beneda</t>
  </si>
  <si>
    <t>Alšova 738,Šlapanov</t>
  </si>
  <si>
    <t>Havlíčkova 1558,Lubná u Rakovníka</t>
  </si>
  <si>
    <t>Andrea</t>
  </si>
  <si>
    <t>Navratilova</t>
  </si>
  <si>
    <t>Školní 1944,Malšice</t>
  </si>
  <si>
    <t>Charvat</t>
  </si>
  <si>
    <t>Stožická 1512,Vodnany</t>
  </si>
  <si>
    <t>Hejna</t>
  </si>
  <si>
    <t>Dělnická 1372,Hranice 4</t>
  </si>
  <si>
    <t>Zelena</t>
  </si>
  <si>
    <t>Štefanikova 1429,Boskovice</t>
  </si>
  <si>
    <t>Eliasova</t>
  </si>
  <si>
    <t>Václava Haňky 574,Dolní Kounice</t>
  </si>
  <si>
    <t>Žerotínova 132,Horice v Podkrkonoší</t>
  </si>
  <si>
    <t>Uhlir</t>
  </si>
  <si>
    <t>Jana Šťastného 1425,Pyšely</t>
  </si>
  <si>
    <t>Zavadil</t>
  </si>
  <si>
    <t>U Křížku 1007,Všelibice</t>
  </si>
  <si>
    <t>Pajer</t>
  </si>
  <si>
    <t>Kovářská 1657,Chlumec u Ústí nad Labem</t>
  </si>
  <si>
    <t>Vlastimila</t>
  </si>
  <si>
    <t>Karafiatova</t>
  </si>
  <si>
    <t>Bavorovská 1520,Vlachovo Brezí</t>
  </si>
  <si>
    <t>Domansky</t>
  </si>
  <si>
    <t>Hálkova 1976,Ceská Lípa 2</t>
  </si>
  <si>
    <t>Uchytilova</t>
  </si>
  <si>
    <t>Prokopská 807,Stará Hut u Dobríše</t>
  </si>
  <si>
    <t>Jolana</t>
  </si>
  <si>
    <t>Vladykova</t>
  </si>
  <si>
    <t>Československé legií 1319,Lipník nad Becvou</t>
  </si>
  <si>
    <t>Lahodova</t>
  </si>
  <si>
    <t>Družstevní práce 464,Chlumec nad Cidlinou</t>
  </si>
  <si>
    <t>Flidrova</t>
  </si>
  <si>
    <t>U divadla 1341,Straškov-Vodochody</t>
  </si>
  <si>
    <t>Havrdova</t>
  </si>
  <si>
    <t>Hálkova 1665,Mimon</t>
  </si>
  <si>
    <t>Vesela</t>
  </si>
  <si>
    <t>Dobrovského 1682,Jirice u Miroslavi</t>
  </si>
  <si>
    <t>Viktoriya</t>
  </si>
  <si>
    <t>Matejkova</t>
  </si>
  <si>
    <t>K Lukárně 567,Horovice</t>
  </si>
  <si>
    <t>Necas</t>
  </si>
  <si>
    <t>Pod Floriánem 734,Pelhrimov</t>
  </si>
  <si>
    <t>Jiráskova 442,Kopidlno</t>
  </si>
  <si>
    <t>Souckova</t>
  </si>
  <si>
    <t>U Parku 255,Dolní Bukovsko</t>
  </si>
  <si>
    <t>Danuska</t>
  </si>
  <si>
    <t>Taborska</t>
  </si>
  <si>
    <t>Jindřichova 1382,Majdalena</t>
  </si>
  <si>
    <t>Bratří Čapků 1899,Bílá Tremešná</t>
  </si>
  <si>
    <t>Kafkova</t>
  </si>
  <si>
    <t>Mlýnská 1667,Olšany u Šumperka</t>
  </si>
  <si>
    <t>Novotny</t>
  </si>
  <si>
    <t>Jiráskova 1119,Prepere</t>
  </si>
  <si>
    <t>Lastuvka</t>
  </si>
  <si>
    <t>Alšova 481,Cimelice</t>
  </si>
  <si>
    <t>Karla</t>
  </si>
  <si>
    <t>Oslejskova</t>
  </si>
  <si>
    <t>Větrník 1725,Hronov 1</t>
  </si>
  <si>
    <t>Dockal</t>
  </si>
  <si>
    <t>Hrubínova 287,Neveklov</t>
  </si>
  <si>
    <t>Marketa</t>
  </si>
  <si>
    <t>Hubkova</t>
  </si>
  <si>
    <t>Sokolská 894,Troubelice</t>
  </si>
  <si>
    <t>Olivova</t>
  </si>
  <si>
    <t>Velký průhon 1604,Knežice u Mestce Králové</t>
  </si>
  <si>
    <t>Jezek</t>
  </si>
  <si>
    <t>Bartákova 1769,Plumlov</t>
  </si>
  <si>
    <t>Skoupa</t>
  </si>
  <si>
    <t>Fibichova 256,Melník 1</t>
  </si>
  <si>
    <t>Mikula</t>
  </si>
  <si>
    <t>Luční 279,Velké Mezirící</t>
  </si>
  <si>
    <t>Koubkova</t>
  </si>
  <si>
    <t>U medvídků 1483,Kamýk nad Vltavou</t>
  </si>
  <si>
    <t>Hajek</t>
  </si>
  <si>
    <t>Strojírenská 1809,Ždár nad Sázavou 2</t>
  </si>
  <si>
    <t>Julie</t>
  </si>
  <si>
    <t>Majorova</t>
  </si>
  <si>
    <t>Havlíčkova 1443,Vejprty</t>
  </si>
  <si>
    <t>Hofman</t>
  </si>
  <si>
    <t>Bezručova 836,Šternberk 1</t>
  </si>
  <si>
    <t>Tylova 348,Svitavy 2</t>
  </si>
  <si>
    <t>Olah</t>
  </si>
  <si>
    <t>Bedřicha Smetany 1558,Boršice u Buchlovic</t>
  </si>
  <si>
    <t>Václava Haňky 1060,Dolní Kounice</t>
  </si>
  <si>
    <t>Simon</t>
  </si>
  <si>
    <t>Na Loučkách 271,Adamov 1</t>
  </si>
  <si>
    <t>Mitasova</t>
  </si>
  <si>
    <t>U Křížku 545,Sychrov</t>
  </si>
  <si>
    <t>Smutna</t>
  </si>
  <si>
    <t>Příkopy 1761,Záchlumí</t>
  </si>
  <si>
    <t>Zvonicek</t>
  </si>
  <si>
    <t>Na Výsluní 639,Bor u Tachova</t>
  </si>
  <si>
    <t>Forst</t>
  </si>
  <si>
    <t>Generála Jaroše 889,Osová Bítýška</t>
  </si>
  <si>
    <t>Vojtkova</t>
  </si>
  <si>
    <t>Klimenta Čermáka 201,Cáslav</t>
  </si>
  <si>
    <t>Dubinova</t>
  </si>
  <si>
    <t>Jiřího z Poděbrad 1862,Staré Krecany</t>
  </si>
  <si>
    <t>Meduna</t>
  </si>
  <si>
    <t>Bartákova 162,Plumlov</t>
  </si>
  <si>
    <t>Sramek</t>
  </si>
  <si>
    <t>Švermova 1167,Liberec 15</t>
  </si>
  <si>
    <t>Machova</t>
  </si>
  <si>
    <t>Alšova 680,Protivín</t>
  </si>
  <si>
    <t>Valenta</t>
  </si>
  <si>
    <t>Jižní 1024,Horice na Šumave</t>
  </si>
  <si>
    <t>Indrakova</t>
  </si>
  <si>
    <t>Vrchlického 1005,Tišnov 1</t>
  </si>
  <si>
    <t>Hostalkova</t>
  </si>
  <si>
    <t>Masarykova 516,Žatec 1</t>
  </si>
  <si>
    <t>Svab</t>
  </si>
  <si>
    <t>Barákova 1285,Odolena Voda</t>
  </si>
  <si>
    <t>Bockova</t>
  </si>
  <si>
    <t>Suhrady 1234,Opava 6</t>
  </si>
  <si>
    <t>Tichy</t>
  </si>
  <si>
    <t>U Sokolovny 853,Starý Bydžov</t>
  </si>
  <si>
    <t>Markova</t>
  </si>
  <si>
    <t>Nová 1651,Nebužely</t>
  </si>
  <si>
    <t>Marecek</t>
  </si>
  <si>
    <t>U divadla 813,Chodouny</t>
  </si>
  <si>
    <t>Vicherkova</t>
  </si>
  <si>
    <t>Družstevní 1100,Miroslav</t>
  </si>
  <si>
    <t>Nicole</t>
  </si>
  <si>
    <t>Svobodova</t>
  </si>
  <si>
    <t>Komenského 529,Telc</t>
  </si>
  <si>
    <t>Ilona</t>
  </si>
  <si>
    <t>Conkova</t>
  </si>
  <si>
    <t>Bedřicha Smetany 1366,Kutná Hora 1</t>
  </si>
  <si>
    <t>Matiegkova 1504,Týnec nad Sázavou</t>
  </si>
  <si>
    <t>Vincenc</t>
  </si>
  <si>
    <t>Glaser</t>
  </si>
  <si>
    <t>Za učilištěm 1056,Dobrá</t>
  </si>
  <si>
    <t>Pospichal</t>
  </si>
  <si>
    <t>Matiegkova 611,Krhanice</t>
  </si>
  <si>
    <t>Brejcha</t>
  </si>
  <si>
    <t>Dobrovského 427,Olbramovice u Moravského Krumlova</t>
  </si>
  <si>
    <t>Janina</t>
  </si>
  <si>
    <t>Dvorakova</t>
  </si>
  <si>
    <t>Sokolská 216,Unicov 1</t>
  </si>
  <si>
    <t>Kourilova</t>
  </si>
  <si>
    <t>Strojírenská 22,Nížkov</t>
  </si>
  <si>
    <t>Michael</t>
  </si>
  <si>
    <t>Zika</t>
  </si>
  <si>
    <t>Mírová 472,Bobrová</t>
  </si>
  <si>
    <t>Jaromir</t>
  </si>
  <si>
    <t>Hruby</t>
  </si>
  <si>
    <t>Pod Strání 1435,Hostinné</t>
  </si>
  <si>
    <t>Bolek</t>
  </si>
  <si>
    <t>Alšova 1620,Protivín</t>
  </si>
  <si>
    <t>Marie Kudeříkové 1580,Úpice</t>
  </si>
  <si>
    <t>Homolka</t>
  </si>
  <si>
    <t>Strojírenská 731,Ždár nad Sázavou 2</t>
  </si>
  <si>
    <t>Duskova</t>
  </si>
  <si>
    <t>Teperova 578,Želešice</t>
  </si>
  <si>
    <t>Krusinova</t>
  </si>
  <si>
    <t>Alšova 1908,Písek 1</t>
  </si>
  <si>
    <t>Ondruch</t>
  </si>
  <si>
    <t>Úzká 134,Dolní Dunajovice</t>
  </si>
  <si>
    <t>Ederova</t>
  </si>
  <si>
    <t>Na Kopečku 932,Stežery</t>
  </si>
  <si>
    <t>Silhankova</t>
  </si>
  <si>
    <t>Poštovní 1046,Skalsko</t>
  </si>
  <si>
    <t>Dusan</t>
  </si>
  <si>
    <t>Fabian</t>
  </si>
  <si>
    <t>Budovatelská 1027,Záborí u Blatné</t>
  </si>
  <si>
    <t>Jindrich</t>
  </si>
  <si>
    <t>Popelka</t>
  </si>
  <si>
    <t>Školní 1837,Rynárec</t>
  </si>
  <si>
    <t>Bednar</t>
  </si>
  <si>
    <t>Suhrady 936,Sudice</t>
  </si>
  <si>
    <t>Kalikova</t>
  </si>
  <si>
    <t>Mlýnské údolí 1426,Rudolfov</t>
  </si>
  <si>
    <t>Karnik</t>
  </si>
  <si>
    <t>Nová 1977,Chlumín</t>
  </si>
  <si>
    <t>Sabina</t>
  </si>
  <si>
    <t>Pazderova</t>
  </si>
  <si>
    <t>Sídliště Za Chlumem 576,Žalany</t>
  </si>
  <si>
    <t>Ivo</t>
  </si>
  <si>
    <t>Varga</t>
  </si>
  <si>
    <t>Školní 1093,Mirošov 1</t>
  </si>
  <si>
    <t>Janda</t>
  </si>
  <si>
    <t>Jindřichova 668,Stráž nad Nežárkou</t>
  </si>
  <si>
    <t>Evzenie</t>
  </si>
  <si>
    <t>Jechova</t>
  </si>
  <si>
    <t>U medvídků 1017,Kamýk nad Vltavou</t>
  </si>
  <si>
    <t>Pletichova</t>
  </si>
  <si>
    <t>Havlíčkova 526,Sedlcany</t>
  </si>
  <si>
    <t>Sikora</t>
  </si>
  <si>
    <t>Na Výsluní 1092,Stríbro</t>
  </si>
  <si>
    <t>Viktor</t>
  </si>
  <si>
    <t>Toman</t>
  </si>
  <si>
    <t>Sídliště Za Chlumem 73,Bílina 4</t>
  </si>
  <si>
    <t>Spojovací 827,Starec</t>
  </si>
  <si>
    <t>Andrlikova</t>
  </si>
  <si>
    <t>Družstevní práce 782,Trebechovice pod Orebem</t>
  </si>
  <si>
    <t>Suchy</t>
  </si>
  <si>
    <t>Jana Šťastného 798,Cisovice</t>
  </si>
  <si>
    <t>Lindner</t>
  </si>
  <si>
    <t>Školní 783,Klatovy 1</t>
  </si>
  <si>
    <t>Barbora</t>
  </si>
  <si>
    <t>Sejkorova</t>
  </si>
  <si>
    <t>Partyzánská 1728,Chvalkovice v Cechách</t>
  </si>
  <si>
    <t>Maixner</t>
  </si>
  <si>
    <t>Jičín 209,Jicín 1</t>
  </si>
  <si>
    <t>Klirova</t>
  </si>
  <si>
    <t>Absolonova 857,Mohelno</t>
  </si>
  <si>
    <t>Sestak</t>
  </si>
  <si>
    <t>Na Kopečku 804,Všestary</t>
  </si>
  <si>
    <t>Blazkova</t>
  </si>
  <si>
    <t>Tylova 1826,Jevícko</t>
  </si>
  <si>
    <t>Hanzlikova</t>
  </si>
  <si>
    <t>Jana Šťastného 812,Slapy nad Vltavou</t>
  </si>
  <si>
    <t>Stella</t>
  </si>
  <si>
    <t>Sadilkova</t>
  </si>
  <si>
    <t>Žižkova 810,Nemcice nad Hanou</t>
  </si>
  <si>
    <t>Americká 1821,Kolinec</t>
  </si>
  <si>
    <t>Aneta</t>
  </si>
  <si>
    <t>Simanova</t>
  </si>
  <si>
    <t>Školní 305,Benešov nad Cernou</t>
  </si>
  <si>
    <t>Hřbitovní 1782,Slavicín</t>
  </si>
  <si>
    <t>Kalivodova</t>
  </si>
  <si>
    <t>Dělnická 259,Potštát</t>
  </si>
  <si>
    <t>Emilie</t>
  </si>
  <si>
    <t>Rihackova</t>
  </si>
  <si>
    <t>Družstevní 1145,Oleksovice</t>
  </si>
  <si>
    <t>Sedivy</t>
  </si>
  <si>
    <t>Vrchlického 410,Tišnov 1</t>
  </si>
  <si>
    <t>Mikulenkova</t>
  </si>
  <si>
    <t>Polní 267,Nýrany</t>
  </si>
  <si>
    <t>Macoun</t>
  </si>
  <si>
    <t>Nezvalova 614,Benešov u Prahy</t>
  </si>
  <si>
    <t>Husar</t>
  </si>
  <si>
    <t>Stožická 57,Vodnany</t>
  </si>
  <si>
    <t>Havel</t>
  </si>
  <si>
    <t>Sokolovská 1459,Lomnice u Rýmarova</t>
  </si>
  <si>
    <t>Simona</t>
  </si>
  <si>
    <t>Vykopalova</t>
  </si>
  <si>
    <t>Bartákova 257,Plumlov</t>
  </si>
  <si>
    <t>Pospisil</t>
  </si>
  <si>
    <t>Luční 970,Vír</t>
  </si>
  <si>
    <t>Ales</t>
  </si>
  <si>
    <t>Mares</t>
  </si>
  <si>
    <t>Třebčická 548,Preštice</t>
  </si>
  <si>
    <t>Simonova</t>
  </si>
  <si>
    <t>Československé legií 1895,Želatovice</t>
  </si>
  <si>
    <t>Horejsi</t>
  </si>
  <si>
    <t>Vostelčická 1873,Svitavy 2</t>
  </si>
  <si>
    <t>Libuse</t>
  </si>
  <si>
    <t>Hanusova</t>
  </si>
  <si>
    <t>Bavorovská 543,Ckyne</t>
  </si>
  <si>
    <t>Hendrych</t>
  </si>
  <si>
    <t>Spojovací 1527,Okríšky</t>
  </si>
  <si>
    <t>Nosek</t>
  </si>
  <si>
    <t>Štefanikova 380,Olešnice na Morave</t>
  </si>
  <si>
    <t>Petera</t>
  </si>
  <si>
    <t>Střední 324,Žihle</t>
  </si>
  <si>
    <t>Richter</t>
  </si>
  <si>
    <t>Na Výsluní 1882,Cernošice</t>
  </si>
  <si>
    <t>Uhlik</t>
  </si>
  <si>
    <t>Za Školou 493,Velká Bíteš</t>
  </si>
  <si>
    <t>Kateryna</t>
  </si>
  <si>
    <t>Preckova</t>
  </si>
  <si>
    <t>Sídliště Za Chlumem 1378,Jirkov 1</t>
  </si>
  <si>
    <t>Kadlecova</t>
  </si>
  <si>
    <t>Velký průhon 808,Mestec Králové</t>
  </si>
  <si>
    <t>Zaveska</t>
  </si>
  <si>
    <t>Horní 896,Kolovec</t>
  </si>
  <si>
    <t>Kabicek</t>
  </si>
  <si>
    <t>Družstevní 747,Prosimerice</t>
  </si>
  <si>
    <t>Vaclav</t>
  </si>
  <si>
    <t>Cermak</t>
  </si>
  <si>
    <t>Jiráskova 1988,Sec 1</t>
  </si>
  <si>
    <t>Dašická 1900,Svojšice u Prelouce</t>
  </si>
  <si>
    <t>Havlickova</t>
  </si>
  <si>
    <t>Pivovarská 522,Ceské Budejovice 1</t>
  </si>
  <si>
    <t>Bulva</t>
  </si>
  <si>
    <t>Příční 1248,Jablunka nad Becvou</t>
  </si>
  <si>
    <t>Vrchlického 102,Domažlice 1</t>
  </si>
  <si>
    <t>Fusek</t>
  </si>
  <si>
    <t>Klimenta Čermáka 1424,Cáslav</t>
  </si>
  <si>
    <t>Hermanova</t>
  </si>
  <si>
    <t>Na Kopečku 1141,Lužany</t>
  </si>
  <si>
    <t>Svrcina</t>
  </si>
  <si>
    <t>Vrchlického 766,Citonice</t>
  </si>
  <si>
    <t>Cigankova</t>
  </si>
  <si>
    <t>Sokolská 1943,Hlubocky 3</t>
  </si>
  <si>
    <t>Fojtikova</t>
  </si>
  <si>
    <t>Bedřicha Smetany 1354,Kutná Hora 1</t>
  </si>
  <si>
    <t>Lubomira</t>
  </si>
  <si>
    <t>Cihlarova</t>
  </si>
  <si>
    <t>Školní 1407,Malonty</t>
  </si>
  <si>
    <t>Jarmila</t>
  </si>
  <si>
    <t>Zizkova</t>
  </si>
  <si>
    <t>Čechova 606,Trutnov 1</t>
  </si>
  <si>
    <t>Bukackova</t>
  </si>
  <si>
    <t>Na Výsluní 736,Zvole u Prahy</t>
  </si>
  <si>
    <t>Příkopy 1062,Lanškroun</t>
  </si>
  <si>
    <t>Denisa</t>
  </si>
  <si>
    <t>Vasikova</t>
  </si>
  <si>
    <t>Školní 97,Brasy 1</t>
  </si>
  <si>
    <t>Stepanka</t>
  </si>
  <si>
    <t>Lavickova</t>
  </si>
  <si>
    <t>Generála Jaroše 620,Velké Mezirící</t>
  </si>
  <si>
    <t>Dana</t>
  </si>
  <si>
    <t>Dudova</t>
  </si>
  <si>
    <t>Palackého 919,Cervená Recice</t>
  </si>
  <si>
    <t>Prchalova</t>
  </si>
  <si>
    <t>Velký průhon 1756,Dymokury</t>
  </si>
  <si>
    <t>Bublova</t>
  </si>
  <si>
    <t>Václava Haňky 779,Moravany u Brna</t>
  </si>
  <si>
    <t>Zichova</t>
  </si>
  <si>
    <t>Jana Nerudy 1836,Bozkov</t>
  </si>
  <si>
    <t>Blaha</t>
  </si>
  <si>
    <t>Palackého 533,Zlobice</t>
  </si>
  <si>
    <t>Hamerská 714,Malec</t>
  </si>
  <si>
    <t>Vyskocilova</t>
  </si>
  <si>
    <t>Havlíčkova 400,Vejprty</t>
  </si>
  <si>
    <t>Sulova</t>
  </si>
  <si>
    <t>Na Kopci 1728,Drítec</t>
  </si>
  <si>
    <t>Malinska</t>
  </si>
  <si>
    <t>Na Kopci 1282,Vápno u Prelouce</t>
  </si>
  <si>
    <t>Milos</t>
  </si>
  <si>
    <t>Smejkal</t>
  </si>
  <si>
    <t>U divadla 1728,Oldrichov u Duchcova</t>
  </si>
  <si>
    <t>Peterka</t>
  </si>
  <si>
    <t>Klimenta Čermáka 1117,Cáslav</t>
  </si>
  <si>
    <t>Waldemar</t>
  </si>
  <si>
    <t>Prusa</t>
  </si>
  <si>
    <t>Teperova 268,Moravany u Brna</t>
  </si>
  <si>
    <t>Dolezal</t>
  </si>
  <si>
    <t>Hájecká 1339,Vraný u Slaného</t>
  </si>
  <si>
    <t>Střední 867,Stod</t>
  </si>
  <si>
    <t>Novosadova</t>
  </si>
  <si>
    <t>Jičín 1077,Jicín 1</t>
  </si>
  <si>
    <t>Školní 1421,Klatovy 1</t>
  </si>
  <si>
    <t>Macha</t>
  </si>
  <si>
    <t>Nerudova 405,Borovany</t>
  </si>
  <si>
    <t>Marouskova</t>
  </si>
  <si>
    <t>Pod Floriánem 532,Pelhrimov</t>
  </si>
  <si>
    <t>Ivanka</t>
  </si>
  <si>
    <t>Větrník 129,Police nad Metují</t>
  </si>
  <si>
    <t>?Vesely</t>
  </si>
  <si>
    <t>Dobrovského 1934,Lodenice u Moravského Krumlova</t>
  </si>
  <si>
    <t>Bilkova</t>
  </si>
  <si>
    <t>Dašická 1080,Holice v Cechách</t>
  </si>
  <si>
    <t>Pytlikova</t>
  </si>
  <si>
    <t>Alšova 1314,Tálín</t>
  </si>
  <si>
    <t>Jiráskova 449,Miletín</t>
  </si>
  <si>
    <t>Palackého 238,Božejov</t>
  </si>
  <si>
    <t>Lada</t>
  </si>
  <si>
    <t>Brozikova</t>
  </si>
  <si>
    <t>Spodní Pustá 1872,Bukovany u Hodonína</t>
  </si>
  <si>
    <t>Rajtr</t>
  </si>
  <si>
    <t>Na Výsluní 1462,Stríbro</t>
  </si>
  <si>
    <t>Alex</t>
  </si>
  <si>
    <t>Vojta</t>
  </si>
  <si>
    <t>Hálkova 1686,Volfartice</t>
  </si>
  <si>
    <t>Pardubská 550,Myslocovice</t>
  </si>
  <si>
    <t>Malik</t>
  </si>
  <si>
    <t>Sokolovská 363,Bridlicná</t>
  </si>
  <si>
    <t>Kos</t>
  </si>
  <si>
    <t>Pivovarská 1439,Vráž u Berouna</t>
  </si>
  <si>
    <t>Palackého 347,Morkovice-Slížany</t>
  </si>
  <si>
    <t>Urbankova</t>
  </si>
  <si>
    <t>Hamerská 1854,Nová Ves u Chotebore</t>
  </si>
  <si>
    <t>Partyzánská 717,Broumov 1</t>
  </si>
  <si>
    <t>Polacek</t>
  </si>
  <si>
    <t>Sluneční 1460,Mokré Lazce</t>
  </si>
  <si>
    <t>Sona</t>
  </si>
  <si>
    <t>Hurtova</t>
  </si>
  <si>
    <t>Barákova 112,Mratín</t>
  </si>
  <si>
    <t>Kroutil</t>
  </si>
  <si>
    <t>Žerotínova 1324,Horice v Podkrkonoší</t>
  </si>
  <si>
    <t>Balikova</t>
  </si>
  <si>
    <t>Vostelčická 1117,Vysoké Mýto</t>
  </si>
  <si>
    <t xml:space="preserve">    Blazkova</t>
  </si>
  <si>
    <t>Hřbitovní 1799,Nedašov</t>
  </si>
  <si>
    <t>Slama</t>
  </si>
  <si>
    <t>Opltova 783,Stankovice u Žatce</t>
  </si>
  <si>
    <t>Sommer</t>
  </si>
  <si>
    <t>Opltova 1426,Krásný Dvur</t>
  </si>
  <si>
    <t>Jurova</t>
  </si>
  <si>
    <t>U Trati 1894,Kralovice</t>
  </si>
  <si>
    <t>Lubomir</t>
  </si>
  <si>
    <t>Budovatelská 1017,Sedlice u Blatné</t>
  </si>
  <si>
    <t>Školní 285,Krešín u Pacova</t>
  </si>
  <si>
    <t>Godla</t>
  </si>
  <si>
    <t>Pivovarská 1903,Karlštejn</t>
  </si>
  <si>
    <t>Odehnalova</t>
  </si>
  <si>
    <t>Komenského 1659,Telc</t>
  </si>
  <si>
    <t xml:space="preserve"> Cerny</t>
  </si>
  <si>
    <t>Jiráskova 1762,Libán</t>
  </si>
  <si>
    <t>Jordanova</t>
  </si>
  <si>
    <t>Školní 699,Klatovy 1</t>
  </si>
  <si>
    <t>Kalny</t>
  </si>
  <si>
    <t>Jmeno bez mezer</t>
  </si>
  <si>
    <t>příjmení bez mezer</t>
  </si>
  <si>
    <t>U Sokolovny 1181</t>
  </si>
  <si>
    <t>Stožická 92</t>
  </si>
  <si>
    <t>U divadla 1031</t>
  </si>
  <si>
    <t>Žižkova 522</t>
  </si>
  <si>
    <t>Louny 1995</t>
  </si>
  <si>
    <t>Suhrady 1971</t>
  </si>
  <si>
    <t>Vrchlického 1153</t>
  </si>
  <si>
    <t>Školní 713</t>
  </si>
  <si>
    <t>Prokopská 1442</t>
  </si>
  <si>
    <t>Žižkova 1118</t>
  </si>
  <si>
    <t>Palackého 502</t>
  </si>
  <si>
    <t>Dašická 1048</t>
  </si>
  <si>
    <t>Rvačov 1251</t>
  </si>
  <si>
    <t>Petrželka 1864</t>
  </si>
  <si>
    <t>Ke hřišti 859</t>
  </si>
  <si>
    <t>Vostelčická 396</t>
  </si>
  <si>
    <t>Sídliště Za Chlumem 1599</t>
  </si>
  <si>
    <t>ulice2</t>
  </si>
  <si>
    <t>Strojírenská 1481</t>
  </si>
  <si>
    <t>Zahradní 569</t>
  </si>
  <si>
    <t>Jiráskova 57</t>
  </si>
  <si>
    <t>Dašická 1815</t>
  </si>
  <si>
    <t>Osvobození 80</t>
  </si>
  <si>
    <t>Příční 1448</t>
  </si>
  <si>
    <t>Nová 691</t>
  </si>
  <si>
    <t>Větrník 1393</t>
  </si>
  <si>
    <t>Jabloňová 497</t>
  </si>
  <si>
    <t>Žerotínova 1547</t>
  </si>
  <si>
    <t>Ehrmannova 1496</t>
  </si>
  <si>
    <t>Teperova 190</t>
  </si>
  <si>
    <t>Lomená 278</t>
  </si>
  <si>
    <t>Smetanova 291</t>
  </si>
  <si>
    <t>Strmá 494</t>
  </si>
  <si>
    <t>Ehrmannova 643</t>
  </si>
  <si>
    <t>Větrná 1384</t>
  </si>
  <si>
    <t>Tyršova 580</t>
  </si>
  <si>
    <t>Strmá 1852</t>
  </si>
  <si>
    <t>Tyršova 719</t>
  </si>
  <si>
    <t>Nové Město 1256</t>
  </si>
  <si>
    <t>Družstevní práce 620</t>
  </si>
  <si>
    <t>K Pazderně 351</t>
  </si>
  <si>
    <t>Americká 1703</t>
  </si>
  <si>
    <t>Nové Město 1745</t>
  </si>
  <si>
    <t>V Trávníkách 929</t>
  </si>
  <si>
    <t>Třebčínská 927</t>
  </si>
  <si>
    <t>Osvobození 515</t>
  </si>
  <si>
    <t>Českého odboje 992</t>
  </si>
  <si>
    <t>Příční 1282</t>
  </si>
  <si>
    <t>Úzká 1118</t>
  </si>
  <si>
    <t>Na Výsluní 1524</t>
  </si>
  <si>
    <t>Střední 965</t>
  </si>
  <si>
    <t>Osnická 1885</t>
  </si>
  <si>
    <t>Dobrovského 1381</t>
  </si>
  <si>
    <t>Jana Šťastného 813</t>
  </si>
  <si>
    <t>Jiráskova 969</t>
  </si>
  <si>
    <t>Na Výsluní 515</t>
  </si>
  <si>
    <t>Nová 1483</t>
  </si>
  <si>
    <t>Nové Město 1128</t>
  </si>
  <si>
    <t>Jabloňová 187</t>
  </si>
  <si>
    <t>Pod Strání 1439</t>
  </si>
  <si>
    <t>Ehrmannova 1661</t>
  </si>
  <si>
    <t>Hamerská 395</t>
  </si>
  <si>
    <t>Družstevní 139</t>
  </si>
  <si>
    <t>Pivovarská 1809</t>
  </si>
  <si>
    <t>Palackého 693</t>
  </si>
  <si>
    <t>Palackého 537</t>
  </si>
  <si>
    <t>Bedřicha Smetany 1206</t>
  </si>
  <si>
    <t>K Lukárně 1529</t>
  </si>
  <si>
    <t>Partyzánská 31</t>
  </si>
  <si>
    <t>Školní 1013</t>
  </si>
  <si>
    <t>Spojovací 703</t>
  </si>
  <si>
    <t>U Křížku 1246</t>
  </si>
  <si>
    <t>V Trávníkách 1081</t>
  </si>
  <si>
    <t>Na Výsluní 202</t>
  </si>
  <si>
    <t>Matiegkova 615</t>
  </si>
  <si>
    <t>Dělnická 1705</t>
  </si>
  <si>
    <t>Na Výsluní 1896</t>
  </si>
  <si>
    <t>Jiřího z Poděbrad 562</t>
  </si>
  <si>
    <t>Bártova 1719</t>
  </si>
  <si>
    <t>Dobrovského 1514</t>
  </si>
  <si>
    <t>Hrubínova 1533</t>
  </si>
  <si>
    <t>Vrchlického 1487</t>
  </si>
  <si>
    <t>Václava Haňky 1168</t>
  </si>
  <si>
    <t>Dašická 292</t>
  </si>
  <si>
    <t>Hamerská 1137</t>
  </si>
  <si>
    <t>Palackého 1892</t>
  </si>
  <si>
    <t>Jeronýmova 895</t>
  </si>
  <si>
    <t>Mírová 276</t>
  </si>
  <si>
    <t>Bavorovská 607</t>
  </si>
  <si>
    <t>Prokopská 1831</t>
  </si>
  <si>
    <t>Vostelčická 1179</t>
  </si>
  <si>
    <t>Alšova 1339</t>
  </si>
  <si>
    <t>Dobrovského 1092</t>
  </si>
  <si>
    <t>Luční 1153</t>
  </si>
  <si>
    <t>Masarykova 1713</t>
  </si>
  <si>
    <t>Hálkova 723</t>
  </si>
  <si>
    <t>Bezručova 1422</t>
  </si>
  <si>
    <t>Školní 1619</t>
  </si>
  <si>
    <t>Osnická 856</t>
  </si>
  <si>
    <t>Dašická 1054</t>
  </si>
  <si>
    <t>Družstevní 1150</t>
  </si>
  <si>
    <t>Československé legií 842</t>
  </si>
  <si>
    <t>Alšova 596</t>
  </si>
  <si>
    <t>Opltova 239</t>
  </si>
  <si>
    <t>Hřbitovní 1471</t>
  </si>
  <si>
    <t>Luční 63</t>
  </si>
  <si>
    <t>Jabloňová 554</t>
  </si>
  <si>
    <t>Kovářská 900</t>
  </si>
  <si>
    <t>Žižkova 826</t>
  </si>
  <si>
    <t>Mlýnská 541</t>
  </si>
  <si>
    <t>Za Školou 1143</t>
  </si>
  <si>
    <t>Masarykova 15</t>
  </si>
  <si>
    <t>Družstevní 1260</t>
  </si>
  <si>
    <t>Pod Strání 236</t>
  </si>
  <si>
    <t>Klimenta Čermáka 1026</t>
  </si>
  <si>
    <t>Příkopy 1635</t>
  </si>
  <si>
    <t>Zahradní 1384</t>
  </si>
  <si>
    <t>Za učilištěm 734</t>
  </si>
  <si>
    <t>Švermova 1852</t>
  </si>
  <si>
    <t>Klimenta Čermáka 100</t>
  </si>
  <si>
    <t>V Zahradách 1552</t>
  </si>
  <si>
    <t>Sokolská 1923</t>
  </si>
  <si>
    <t>Truhlářská 788</t>
  </si>
  <si>
    <t>Tylova 918</t>
  </si>
  <si>
    <t>Na Kopečku 241</t>
  </si>
  <si>
    <t>Barákova 619</t>
  </si>
  <si>
    <t>Pivovarská 1660</t>
  </si>
  <si>
    <t>Dobrovského 897</t>
  </si>
  <si>
    <t>Větrník 1302</t>
  </si>
  <si>
    <t>Dvořákova 1248</t>
  </si>
  <si>
    <t>Bratří Čapků 82</t>
  </si>
  <si>
    <t>Čechova 533</t>
  </si>
  <si>
    <t>Erbenova 376</t>
  </si>
  <si>
    <t>Bezručova 1383</t>
  </si>
  <si>
    <t>Luční 1595</t>
  </si>
  <si>
    <t>Větrná 1116</t>
  </si>
  <si>
    <t>Osvobození 357</t>
  </si>
  <si>
    <t>Nerudova 484</t>
  </si>
  <si>
    <t>Hřbitovní 1424</t>
  </si>
  <si>
    <t>Jiráskova 1566</t>
  </si>
  <si>
    <t>Nerudova 659</t>
  </si>
  <si>
    <t>Masarykova 1998</t>
  </si>
  <si>
    <t>Lomená 1597</t>
  </si>
  <si>
    <t>Příční 275</t>
  </si>
  <si>
    <t>Jana Nerudy 1465</t>
  </si>
  <si>
    <t>Jičín 1813</t>
  </si>
  <si>
    <t>Bedřicha Smetany 90</t>
  </si>
  <si>
    <t>Budovatelská 698</t>
  </si>
  <si>
    <t>Kovářská 240</t>
  </si>
  <si>
    <t>Strojírenská 1213</t>
  </si>
  <si>
    <t>Louny 590</t>
  </si>
  <si>
    <t>Mírová 873</t>
  </si>
  <si>
    <t>Štefanikova 1500</t>
  </si>
  <si>
    <t>Kovářská 1630</t>
  </si>
  <si>
    <t>Tylova 545</t>
  </si>
  <si>
    <t>Havlíčkova 1918</t>
  </si>
  <si>
    <t>U medvídků 376</t>
  </si>
  <si>
    <t>Za učilištěm 1325</t>
  </si>
  <si>
    <t>Za humny 1414</t>
  </si>
  <si>
    <t>U Sokolovny 1636</t>
  </si>
  <si>
    <t>Pivovarská 1709</t>
  </si>
  <si>
    <t>U Křížku 157</t>
  </si>
  <si>
    <t>Střední 268</t>
  </si>
  <si>
    <t>Vrchlického 1663</t>
  </si>
  <si>
    <t>Truhlářská 439</t>
  </si>
  <si>
    <t>Bavorovská 1775</t>
  </si>
  <si>
    <t>Hálkova 726</t>
  </si>
  <si>
    <t>Partyzánská 21</t>
  </si>
  <si>
    <t>Lidická 484</t>
  </si>
  <si>
    <t>Jeronýmova 638</t>
  </si>
  <si>
    <t>Na Průhonu 644</t>
  </si>
  <si>
    <t>Bartákova 215</t>
  </si>
  <si>
    <t>Na Průhonu 244</t>
  </si>
  <si>
    <t>Nová 611</t>
  </si>
  <si>
    <t>Mírová 1523</t>
  </si>
  <si>
    <t>Pivovarská 130</t>
  </si>
  <si>
    <t>Barákova 823</t>
  </si>
  <si>
    <t>Dukelská 1781</t>
  </si>
  <si>
    <t>Matiegkova 1228</t>
  </si>
  <si>
    <t>Hřbitovní 747</t>
  </si>
  <si>
    <t>Družstevní 1868</t>
  </si>
  <si>
    <t>V Aleji 465</t>
  </si>
  <si>
    <t>Bratří Čapků 1178</t>
  </si>
  <si>
    <t>Barákova 1043</t>
  </si>
  <si>
    <t>Truhlářská 1944</t>
  </si>
  <si>
    <t>Tylova 690</t>
  </si>
  <si>
    <t>Lidická 1784</t>
  </si>
  <si>
    <t>Opltova 1752</t>
  </si>
  <si>
    <t>Strmá 1315</t>
  </si>
  <si>
    <t>Za humny 1826</t>
  </si>
  <si>
    <t>Jičín 824</t>
  </si>
  <si>
    <t>Havlíčkova 710</t>
  </si>
  <si>
    <t>Družstevní 730</t>
  </si>
  <si>
    <t>Lidická 938</t>
  </si>
  <si>
    <t>Za učilištěm 1699</t>
  </si>
  <si>
    <t>Osnická 1325</t>
  </si>
  <si>
    <t>Na Průhonu 657</t>
  </si>
  <si>
    <t>Na Výsluní 806</t>
  </si>
  <si>
    <t>Mlýnská 1417</t>
  </si>
  <si>
    <t>Partyzánská 450</t>
  </si>
  <si>
    <t>Havlíčkova 396</t>
  </si>
  <si>
    <t>Jana Šťastného 1374</t>
  </si>
  <si>
    <t>Strojírenská 360</t>
  </si>
  <si>
    <t>Poštovní 672</t>
  </si>
  <si>
    <t>V Trávníkách 1784</t>
  </si>
  <si>
    <t>Žižkova 1286</t>
  </si>
  <si>
    <t>Nezvalova 287</t>
  </si>
  <si>
    <t>Masarykova 30</t>
  </si>
  <si>
    <t>Na Výsluní 150</t>
  </si>
  <si>
    <t>Havlíčkova 1420</t>
  </si>
  <si>
    <t>Družstevní 674</t>
  </si>
  <si>
    <t>U divadla 612</t>
  </si>
  <si>
    <t>K Pazderně 32</t>
  </si>
  <si>
    <t>Americká 1270</t>
  </si>
  <si>
    <t>Sokolovská 28</t>
  </si>
  <si>
    <t>Sokolská 259</t>
  </si>
  <si>
    <t>Družstevní 496</t>
  </si>
  <si>
    <t>Školní 1590</t>
  </si>
  <si>
    <t>Větrník 158</t>
  </si>
  <si>
    <t>Alšova 1847</t>
  </si>
  <si>
    <t>V Zahradách 1125</t>
  </si>
  <si>
    <t>Fibichova 985</t>
  </si>
  <si>
    <t>Větrná 279</t>
  </si>
  <si>
    <t>Stožická 1764</t>
  </si>
  <si>
    <t>Köhlerova 1849</t>
  </si>
  <si>
    <t>Kovářská 1531</t>
  </si>
  <si>
    <t>Čechova 997</t>
  </si>
  <si>
    <t>V Zahradách 1589</t>
  </si>
  <si>
    <t>Pivovarská 607</t>
  </si>
  <si>
    <t>Sokolská 1373</t>
  </si>
  <si>
    <t>Havlíčkova 85</t>
  </si>
  <si>
    <t>Za Školou 677</t>
  </si>
  <si>
    <t>Lesní 258</t>
  </si>
  <si>
    <t>Vostelčická 992</t>
  </si>
  <si>
    <t>Dvořákova 406</t>
  </si>
  <si>
    <t>U Parku 1681</t>
  </si>
  <si>
    <t>Nerudova 693</t>
  </si>
  <si>
    <t>V Zahradách 686</t>
  </si>
  <si>
    <t>Školní 1912</t>
  </si>
  <si>
    <t>Nová 1872</t>
  </si>
  <si>
    <t>Lomená 1251</t>
  </si>
  <si>
    <t>Kovářská 1718</t>
  </si>
  <si>
    <t>Družstevní 1364</t>
  </si>
  <si>
    <t>Spodní Pustá 346</t>
  </si>
  <si>
    <t>Masarykova 448</t>
  </si>
  <si>
    <t>Hálkova 1533</t>
  </si>
  <si>
    <t>Pod Floriánem 514</t>
  </si>
  <si>
    <t>Polní 1480</t>
  </si>
  <si>
    <t>Vrchlického 857</t>
  </si>
  <si>
    <t>U Trati 1523</t>
  </si>
  <si>
    <t>Na Loučkách 1458</t>
  </si>
  <si>
    <t>Bartákova 1114</t>
  </si>
  <si>
    <t>U divadla 1831</t>
  </si>
  <si>
    <t>Lidická 1330</t>
  </si>
  <si>
    <t>Pod Strání 1958</t>
  </si>
  <si>
    <t>Tylova 83</t>
  </si>
  <si>
    <t>Jiráskova 237</t>
  </si>
  <si>
    <t>Budovatelská 1033</t>
  </si>
  <si>
    <t>Luční 1400</t>
  </si>
  <si>
    <t>Jindřichova 126</t>
  </si>
  <si>
    <t>Sluneční 1790</t>
  </si>
  <si>
    <t>Luční 1528</t>
  </si>
  <si>
    <t>Tyršova 1887</t>
  </si>
  <si>
    <t>Dvořákova 155</t>
  </si>
  <si>
    <t>Bratří Čapků 567</t>
  </si>
  <si>
    <t>Žižkova 1319</t>
  </si>
  <si>
    <t>V Zahradách 413</t>
  </si>
  <si>
    <t>K Pazderně 191</t>
  </si>
  <si>
    <t>Příkopy 1504</t>
  </si>
  <si>
    <t>Střední 1201</t>
  </si>
  <si>
    <t>Jičín 709</t>
  </si>
  <si>
    <t>Na Loučkách 721</t>
  </si>
  <si>
    <t>Dobrovského 1207</t>
  </si>
  <si>
    <t>Jana Šťastného 43</t>
  </si>
  <si>
    <t>Kovářská 1954</t>
  </si>
  <si>
    <t>Jana Nerudy 765</t>
  </si>
  <si>
    <t>U divadla 867</t>
  </si>
  <si>
    <t>Ke hřišti 581</t>
  </si>
  <si>
    <t>Nové Město 735</t>
  </si>
  <si>
    <t>Na Průhonu 769</t>
  </si>
  <si>
    <t>Družstevní 317</t>
  </si>
  <si>
    <t>Havlíčkova 1722</t>
  </si>
  <si>
    <t>U Parku 1519</t>
  </si>
  <si>
    <t>Střední 883</t>
  </si>
  <si>
    <t>Dobrovského 1582</t>
  </si>
  <si>
    <t>Bratří Čapků 32</t>
  </si>
  <si>
    <t>Na Kopci 497</t>
  </si>
  <si>
    <t>Jiřího z Poděbrad 413</t>
  </si>
  <si>
    <t>Havlíčkova 624</t>
  </si>
  <si>
    <t>Příkopy 400</t>
  </si>
  <si>
    <t>Nové Město 1</t>
  </si>
  <si>
    <t>Jabloňová 119</t>
  </si>
  <si>
    <t>Suhrady 735</t>
  </si>
  <si>
    <t>Nová 1626</t>
  </si>
  <si>
    <t>U Sokolovny 1763</t>
  </si>
  <si>
    <t>Hálkova 1508</t>
  </si>
  <si>
    <t>U Křížku 990</t>
  </si>
  <si>
    <t>Za humny 250</t>
  </si>
  <si>
    <t>U Křížku 328</t>
  </si>
  <si>
    <t>Vrchlického 326</t>
  </si>
  <si>
    <t>Klimenta Čermáka 1759</t>
  </si>
  <si>
    <t>Jana Šťastného 1221</t>
  </si>
  <si>
    <t>U Křížku 1657</t>
  </si>
  <si>
    <t>Dobrovského 1723</t>
  </si>
  <si>
    <t>Družstevní 399</t>
  </si>
  <si>
    <t>Petrželka 966</t>
  </si>
  <si>
    <t>V Zahradách 1987</t>
  </si>
  <si>
    <t>Palackého 1552</t>
  </si>
  <si>
    <t>Rvačov 1564</t>
  </si>
  <si>
    <t>Pivovarská 1223</t>
  </si>
  <si>
    <t>Havlíčkova 565</t>
  </si>
  <si>
    <t>Alšova 738</t>
  </si>
  <si>
    <t>Havlíčkova 1558</t>
  </si>
  <si>
    <t>Školní 1944</t>
  </si>
  <si>
    <t>Stožická 1512</t>
  </si>
  <si>
    <t>Dělnická 1372</t>
  </si>
  <si>
    <t>Štefanikova 1429</t>
  </si>
  <si>
    <t>Václava Haňky 574</t>
  </si>
  <si>
    <t>Žerotínova 132</t>
  </si>
  <si>
    <t>Jana Šťastného 1425</t>
  </si>
  <si>
    <t>U Křížku 1007</t>
  </si>
  <si>
    <t>Kovářská 1657</t>
  </si>
  <si>
    <t>Bavorovská 1520</t>
  </si>
  <si>
    <t>Hálkova 1976</t>
  </si>
  <si>
    <t>Prokopská 807</t>
  </si>
  <si>
    <t>Československé legií 1319</t>
  </si>
  <si>
    <t>Družstevní práce 464</t>
  </si>
  <si>
    <t>U divadla 1341</t>
  </si>
  <si>
    <t>Hálkova 1665</t>
  </si>
  <si>
    <t>Dobrovského 1682</t>
  </si>
  <si>
    <t>K Lukárně 567</t>
  </si>
  <si>
    <t>Pod Floriánem 734</t>
  </si>
  <si>
    <t>Jiráskova 442</t>
  </si>
  <si>
    <t>U Parku 255</t>
  </si>
  <si>
    <t>Jindřichova 1382</t>
  </si>
  <si>
    <t>Bratří Čapků 1899</t>
  </si>
  <si>
    <t>Mlýnská 1667</t>
  </si>
  <si>
    <t>Jiráskova 1119</t>
  </si>
  <si>
    <t>Alšova 481</t>
  </si>
  <si>
    <t>Větrník 1725</t>
  </si>
  <si>
    <t>Hrubínova 287</t>
  </si>
  <si>
    <t>Sokolská 894</t>
  </si>
  <si>
    <t>Velký průhon 1604</t>
  </si>
  <si>
    <t>Bartákova 1769</t>
  </si>
  <si>
    <t>Fibichova 256</t>
  </si>
  <si>
    <t>Luční 279</t>
  </si>
  <si>
    <t>U medvídků 1483</t>
  </si>
  <si>
    <t>Strojírenská 1809</t>
  </si>
  <si>
    <t>Havlíčkova 1443</t>
  </si>
  <si>
    <t>Bezručova 836</t>
  </si>
  <si>
    <t>Tylova 348</t>
  </si>
  <si>
    <t>Bedřicha Smetany 1558</t>
  </si>
  <si>
    <t>Václava Haňky 1060</t>
  </si>
  <si>
    <t>Na Loučkách 271</t>
  </si>
  <si>
    <t>U Křížku 545</t>
  </si>
  <si>
    <t>Příkopy 1761</t>
  </si>
  <si>
    <t>Na Výsluní 639</t>
  </si>
  <si>
    <t>Generála Jaroše 889</t>
  </si>
  <si>
    <t>Klimenta Čermáka 201</t>
  </si>
  <si>
    <t>Jiřího z Poděbrad 1862</t>
  </si>
  <si>
    <t>Bartákova 162</t>
  </si>
  <si>
    <t>Švermova 1167</t>
  </si>
  <si>
    <t>Alšova 680</t>
  </si>
  <si>
    <t>Jižní 1024</t>
  </si>
  <si>
    <t>Vrchlického 1005</t>
  </si>
  <si>
    <t>Masarykova 516</t>
  </si>
  <si>
    <t>Barákova 1285</t>
  </si>
  <si>
    <t>Suhrady 1234</t>
  </si>
  <si>
    <t>U Sokolovny 853</t>
  </si>
  <si>
    <t>Nová 1651</t>
  </si>
  <si>
    <t>U divadla 813</t>
  </si>
  <si>
    <t>Družstevní 1100</t>
  </si>
  <si>
    <t>Komenského 529</t>
  </si>
  <si>
    <t>Bedřicha Smetany 1366</t>
  </si>
  <si>
    <t>Matiegkova 1504</t>
  </si>
  <si>
    <t>Za učilištěm 1056</t>
  </si>
  <si>
    <t>Matiegkova 611</t>
  </si>
  <si>
    <t>Dobrovského 427</t>
  </si>
  <si>
    <t>Sokolská 216</t>
  </si>
  <si>
    <t>Strojírenská 22</t>
  </si>
  <si>
    <t>Mírová 472</t>
  </si>
  <si>
    <t>Pod Strání 1435</t>
  </si>
  <si>
    <t>Alšova 1620</t>
  </si>
  <si>
    <t>Marie Kudeříkové 1580</t>
  </si>
  <si>
    <t>Strojírenská 731</t>
  </si>
  <si>
    <t>Teperova 578</t>
  </si>
  <si>
    <t>Alšova 1908</t>
  </si>
  <si>
    <t>Úzká 134</t>
  </si>
  <si>
    <t>Na Kopečku 932</t>
  </si>
  <si>
    <t>Poštovní 1046</t>
  </si>
  <si>
    <t>Budovatelská 1027</t>
  </si>
  <si>
    <t>Školní 1837</t>
  </si>
  <si>
    <t>Suhrady 936</t>
  </si>
  <si>
    <t>Mlýnské údolí 1426</t>
  </si>
  <si>
    <t>Nová 1977</t>
  </si>
  <si>
    <t>Sídliště Za Chlumem 576</t>
  </si>
  <si>
    <t>Školní 1093</t>
  </si>
  <si>
    <t>Jindřichova 668</t>
  </si>
  <si>
    <t>U medvídků 1017</t>
  </si>
  <si>
    <t>Havlíčkova 526</t>
  </si>
  <si>
    <t>Na Výsluní 1092</t>
  </si>
  <si>
    <t>Sídliště Za Chlumem 73</t>
  </si>
  <si>
    <t>Spojovací 827</t>
  </si>
  <si>
    <t>Družstevní práce 782</t>
  </si>
  <si>
    <t>Jana Šťastného 798</t>
  </si>
  <si>
    <t>Školní 783</t>
  </si>
  <si>
    <t>Partyzánská 1728</t>
  </si>
  <si>
    <t>Jičín 209</t>
  </si>
  <si>
    <t>Absolonova 857</t>
  </si>
  <si>
    <t>Na Kopečku 804</t>
  </si>
  <si>
    <t>Tylova 1826</t>
  </si>
  <si>
    <t>Jana Šťastného 812</t>
  </si>
  <si>
    <t>Žižkova 810</t>
  </si>
  <si>
    <t>Americká 1821</t>
  </si>
  <si>
    <t>Školní 305</t>
  </si>
  <si>
    <t>Hřbitovní 1782</t>
  </si>
  <si>
    <t>Dělnická 259</t>
  </si>
  <si>
    <t>Družstevní 1145</t>
  </si>
  <si>
    <t>Vrchlického 410</t>
  </si>
  <si>
    <t>Polní 267</t>
  </si>
  <si>
    <t>Nezvalova 614</t>
  </si>
  <si>
    <t>Stožická 57</t>
  </si>
  <si>
    <t>Sokolovská 1459</t>
  </si>
  <si>
    <t>Bartákova 257</t>
  </si>
  <si>
    <t>Luční 970</t>
  </si>
  <si>
    <t>Třebčická 548</t>
  </si>
  <si>
    <t>Československé legií 1895</t>
  </si>
  <si>
    <t>Vostelčická 1873</t>
  </si>
  <si>
    <t>Bavorovská 543</t>
  </si>
  <si>
    <t>Spojovací 1527</t>
  </si>
  <si>
    <t>Štefanikova 380</t>
  </si>
  <si>
    <t>Střední 324</t>
  </si>
  <si>
    <t>Na Výsluní 1882</t>
  </si>
  <si>
    <t>Za Školou 493</t>
  </si>
  <si>
    <t>Sídliště Za Chlumem 1378</t>
  </si>
  <si>
    <t>Velký průhon 808</t>
  </si>
  <si>
    <t>Horní 896</t>
  </si>
  <si>
    <t>Družstevní 747</t>
  </si>
  <si>
    <t>Jiráskova 1988</t>
  </si>
  <si>
    <t>Dašická 1900</t>
  </si>
  <si>
    <t>Pivovarská 522</t>
  </si>
  <si>
    <t>Příční 1248</t>
  </si>
  <si>
    <t>Vrchlického 102</t>
  </si>
  <si>
    <t>Klimenta Čermáka 1424</t>
  </si>
  <si>
    <t>Na Kopečku 1141</t>
  </si>
  <si>
    <t>Vrchlického 766</t>
  </si>
  <si>
    <t>Sokolská 1943</t>
  </si>
  <si>
    <t>Bedřicha Smetany 1354</t>
  </si>
  <si>
    <t>Školní 1407</t>
  </si>
  <si>
    <t>Čechova 606</t>
  </si>
  <si>
    <t>Na Výsluní 736</t>
  </si>
  <si>
    <t>Příkopy 1062</t>
  </si>
  <si>
    <t>Školní 97</t>
  </si>
  <si>
    <t>Generála Jaroše 620</t>
  </si>
  <si>
    <t>Palackého 919</t>
  </si>
  <si>
    <t>Velký průhon 1756</t>
  </si>
  <si>
    <t>Václava Haňky 779</t>
  </si>
  <si>
    <t>Jana Nerudy 1836</t>
  </si>
  <si>
    <t>Palackého 533</t>
  </si>
  <si>
    <t>Hamerská 714</t>
  </si>
  <si>
    <t>Havlíčkova 400</t>
  </si>
  <si>
    <t>Na Kopci 1728</t>
  </si>
  <si>
    <t>Na Kopci 1282</t>
  </si>
  <si>
    <t>U divadla 1728</t>
  </si>
  <si>
    <t>Klimenta Čermáka 1117</t>
  </si>
  <si>
    <t>Teperova 268</t>
  </si>
  <si>
    <t>Hájecká 1339</t>
  </si>
  <si>
    <t>Střední 867</t>
  </si>
  <si>
    <t>Jičín 1077</t>
  </si>
  <si>
    <t>Školní 1421</t>
  </si>
  <si>
    <t>Nerudova 405</t>
  </si>
  <si>
    <t>Pod Floriánem 532</t>
  </si>
  <si>
    <t>Větrník 129</t>
  </si>
  <si>
    <t>Dobrovského 1934</t>
  </si>
  <si>
    <t>Dašická 1080</t>
  </si>
  <si>
    <t>Alšova 1314</t>
  </si>
  <si>
    <t>Jiráskova 449</t>
  </si>
  <si>
    <t>Palackého 238</t>
  </si>
  <si>
    <t>Spodní Pustá 1872</t>
  </si>
  <si>
    <t>Na Výsluní 1462</t>
  </si>
  <si>
    <t>Hálkova 1686</t>
  </si>
  <si>
    <t>Pardubská 550</t>
  </si>
  <si>
    <t>Sokolovská 363</t>
  </si>
  <si>
    <t>Pivovarská 1439</t>
  </si>
  <si>
    <t>Palackého 347</t>
  </si>
  <si>
    <t>Hamerská 1854</t>
  </si>
  <si>
    <t>Partyzánská 717</t>
  </si>
  <si>
    <t>Sluneční 1460</t>
  </si>
  <si>
    <t>Barákova 112</t>
  </si>
  <si>
    <t>Žerotínova 1324</t>
  </si>
  <si>
    <t>Vostelčická 1117</t>
  </si>
  <si>
    <t>Hřbitovní 1799</t>
  </si>
  <si>
    <t>Opltova 783</t>
  </si>
  <si>
    <t>Opltova 1426</t>
  </si>
  <si>
    <t>U Trati 1894</t>
  </si>
  <si>
    <t>Budovatelská 1017</t>
  </si>
  <si>
    <t>Školní 285</t>
  </si>
  <si>
    <t>Pivovarská 1903</t>
  </si>
  <si>
    <t>Komenského 1659</t>
  </si>
  <si>
    <t>Jiráskova 1762</t>
  </si>
  <si>
    <t>Školní 699</t>
  </si>
  <si>
    <t>Železnice</t>
  </si>
  <si>
    <t>Vodnany</t>
  </si>
  <si>
    <t>Polepy</t>
  </si>
  <si>
    <t>Bedihošt</t>
  </si>
  <si>
    <t>Louny 1</t>
  </si>
  <si>
    <t>Darkovice</t>
  </si>
  <si>
    <t>Znojmo 2</t>
  </si>
  <si>
    <t>Kaplice 1</t>
  </si>
  <si>
    <t>Nová Ves pod Pleší</t>
  </si>
  <si>
    <t>Kralice na Hané</t>
  </si>
  <si>
    <t>Rajnochovice</t>
  </si>
  <si>
    <t>Holice v Cechách</t>
  </si>
  <si>
    <t>Roudnice nad Labem</t>
  </si>
  <si>
    <t>Kromeríž 1</t>
  </si>
  <si>
    <t>Zásmuky</t>
  </si>
  <si>
    <t>Vysoké Mýto</t>
  </si>
  <si>
    <t>Bílina 4</t>
  </si>
  <si>
    <t>Velká Losenice</t>
  </si>
  <si>
    <t>Budišov u Trebíce</t>
  </si>
  <si>
    <t>Brodce nad Jizerou</t>
  </si>
  <si>
    <t>Ostrava 10</t>
  </si>
  <si>
    <t>Loucka u Valašského Mezirící</t>
  </si>
  <si>
    <t>Velký Borek</t>
  </si>
  <si>
    <t>Studnice u Náchoda</t>
  </si>
  <si>
    <t>Luže</t>
  </si>
  <si>
    <t>Havlíckuv Brod 1</t>
  </si>
  <si>
    <t>Zastávka u Brna</t>
  </si>
  <si>
    <t>Modrice</t>
  </si>
  <si>
    <t>Uhercice u Znojma</t>
  </si>
  <si>
    <t>Prelouc</t>
  </si>
  <si>
    <t>Baška</t>
  </si>
  <si>
    <t>Veverská Bítýška</t>
  </si>
  <si>
    <t>Babice u Uherského Hradište</t>
  </si>
  <si>
    <t>Horaždovice</t>
  </si>
  <si>
    <t>Celadná</t>
  </si>
  <si>
    <t>Trebon</t>
  </si>
  <si>
    <t>Dušejov</t>
  </si>
  <si>
    <t>Lhota pod Libcany</t>
  </si>
  <si>
    <t>Vlašim</t>
  </si>
  <si>
    <t>Kdyne</t>
  </si>
  <si>
    <t>Ledec nad Sázavou</t>
  </si>
  <si>
    <t>Rádlo</t>
  </si>
  <si>
    <t>Cholina</t>
  </si>
  <si>
    <t>Bohumín 3</t>
  </si>
  <si>
    <t>Dobruška</t>
  </si>
  <si>
    <t>Valašská Bystrice</t>
  </si>
  <si>
    <t>Brezí u Mikulova</t>
  </si>
  <si>
    <t>Dolní Brežany</t>
  </si>
  <si>
    <t>Kaznejov</t>
  </si>
  <si>
    <t>Praha 411</t>
  </si>
  <si>
    <t>Kostelec nad Cernými Lesy</t>
  </si>
  <si>
    <t>Kamenice</t>
  </si>
  <si>
    <t>Nasavrky</t>
  </si>
  <si>
    <t>Velké Prílepy</t>
  </si>
  <si>
    <t>Strakonice 1</t>
  </si>
  <si>
    <t>Tremošnice</t>
  </si>
  <si>
    <t>Hostinné</t>
  </si>
  <si>
    <t>Domašov u Brna</t>
  </si>
  <si>
    <t>Rozsochatec</t>
  </si>
  <si>
    <t>Brandýsek</t>
  </si>
  <si>
    <t>Lovosice 2</t>
  </si>
  <si>
    <t>Holešov</t>
  </si>
  <si>
    <t>Jalubí</t>
  </si>
  <si>
    <t>Zajecov</t>
  </si>
  <si>
    <t>Nesovice</t>
  </si>
  <si>
    <t>Knežice u Trebíce</t>
  </si>
  <si>
    <t>Pencín u Liberce</t>
  </si>
  <si>
    <t>Tanvald</t>
  </si>
  <si>
    <t>Stríbro</t>
  </si>
  <si>
    <t>Porící nad Sázavou</t>
  </si>
  <si>
    <t>Zdechov</t>
  </si>
  <si>
    <t>Vrané nad Vltavou</t>
  </si>
  <si>
    <t>Jiretín pod Jedlovou</t>
  </si>
  <si>
    <t>Svitávka</t>
  </si>
  <si>
    <t>Moravský Krumlov</t>
  </si>
  <si>
    <t>Vrchotovy Janovice</t>
  </si>
  <si>
    <t>Predklášterí</t>
  </si>
  <si>
    <t>Šlapanice u Brna</t>
  </si>
  <si>
    <t>Choltice</t>
  </si>
  <si>
    <t>Ždírec nad Doubravou</t>
  </si>
  <si>
    <t>Kalište</t>
  </si>
  <si>
    <t>Polná</t>
  </si>
  <si>
    <t>Strážek</t>
  </si>
  <si>
    <t>Vlachovo Brezí</t>
  </si>
  <si>
    <t>Necín</t>
  </si>
  <si>
    <t>Cimelice</t>
  </si>
  <si>
    <t>Rovecné</t>
  </si>
  <si>
    <t>Breznice</t>
  </si>
  <si>
    <t>Ceská Lípa 2</t>
  </si>
  <si>
    <t>Šternberk 1</t>
  </si>
  <si>
    <t>Praha 111</t>
  </si>
  <si>
    <t>Hostim</t>
  </si>
  <si>
    <t>Kojetín</t>
  </si>
  <si>
    <t>Herálec u Havlíckova Brodu</t>
  </si>
  <si>
    <t>Hora Svaté Kateriny</t>
  </si>
  <si>
    <t>Luhacovice</t>
  </si>
  <si>
    <t>Velké Mezirící</t>
  </si>
  <si>
    <t>Chroustovice</t>
  </si>
  <si>
    <t>Tisá</t>
  </si>
  <si>
    <t>Nezamyslice u Prostejova</t>
  </si>
  <si>
    <t>Trešt</t>
  </si>
  <si>
    <t>Brno 21</t>
  </si>
  <si>
    <t>Zábreh</t>
  </si>
  <si>
    <t>Zbiroh</t>
  </si>
  <si>
    <t>Cáslav</t>
  </si>
  <si>
    <t>Ústí nad Orlicí 1</t>
  </si>
  <si>
    <t>Cechtín</t>
  </si>
  <si>
    <t>Dobrá</t>
  </si>
  <si>
    <t>Liberec 6</t>
  </si>
  <si>
    <t>Prerov 2</t>
  </si>
  <si>
    <t>Dukovany-elektrárna</t>
  </si>
  <si>
    <t>Pacov</t>
  </si>
  <si>
    <t>Ostrov nad Ohrí</t>
  </si>
  <si>
    <t>Nechanice</t>
  </si>
  <si>
    <t>Škvorec</t>
  </si>
  <si>
    <t>Velemín</t>
  </si>
  <si>
    <t>Cervený Kostelec</t>
  </si>
  <si>
    <t>Ondrejov</t>
  </si>
  <si>
    <t>Bohuslavice nad Metují</t>
  </si>
  <si>
    <t>Miretice u Hlinska</t>
  </si>
  <si>
    <t>Opocno</t>
  </si>
  <si>
    <t>Hanušovice</t>
  </si>
  <si>
    <t>Slavkov u Brna</t>
  </si>
  <si>
    <t>Ostrava 28</t>
  </si>
  <si>
    <t>Ceské Budejovice 6</t>
  </si>
  <si>
    <t>Štítná nad Vlárí</t>
  </si>
  <si>
    <t>Slatinany</t>
  </si>
  <si>
    <t>Ceské Budejovice 7</t>
  </si>
  <si>
    <t>Tavíkovice</t>
  </si>
  <si>
    <t>Choryne</t>
  </si>
  <si>
    <t>Turnov 1</t>
  </si>
  <si>
    <t>Jicín 1</t>
  </si>
  <si>
    <t>Zlechov</t>
  </si>
  <si>
    <t>Blatná</t>
  </si>
  <si>
    <t>Telnice</t>
  </si>
  <si>
    <t>Fryšava pod Žákovou horou</t>
  </si>
  <si>
    <t>Bobrová</t>
  </si>
  <si>
    <t>Olešnice na Morave</t>
  </si>
  <si>
    <t>Decín 5</t>
  </si>
  <si>
    <t>Karlovy Vary 1</t>
  </si>
  <si>
    <t>Kamenné Žehrovice</t>
  </si>
  <si>
    <t>Višnová u Príbrame</t>
  </si>
  <si>
    <t>Nový Jicín 1</t>
  </si>
  <si>
    <t>Milevsko 1</t>
  </si>
  <si>
    <t>Libun</t>
  </si>
  <si>
    <t>Lochovice</t>
  </si>
  <si>
    <t>Frýdlant v Cechách</t>
  </si>
  <si>
    <t>Manetín</t>
  </si>
  <si>
    <t>Tišnov 1</t>
  </si>
  <si>
    <t>Stachy</t>
  </si>
  <si>
    <t>Prysk</t>
  </si>
  <si>
    <t>Chvalkovice v Cechách</t>
  </si>
  <si>
    <t>Litomyšl</t>
  </si>
  <si>
    <t>Plzen 18</t>
  </si>
  <si>
    <t>Slezské Rudoltice</t>
  </si>
  <si>
    <t>Plzen 27</t>
  </si>
  <si>
    <t>Mšeno u Melníka</t>
  </si>
  <si>
    <t>Trebívlice</t>
  </si>
  <si>
    <t>Mratín</t>
  </si>
  <si>
    <t>Odry</t>
  </si>
  <si>
    <t>Divišov</t>
  </si>
  <si>
    <t>Horní Nemcí</t>
  </si>
  <si>
    <t>Skalná</t>
  </si>
  <si>
    <t>Bílá Tremešná</t>
  </si>
  <si>
    <t>Káraný</t>
  </si>
  <si>
    <t>Jaromerice u Jevícka</t>
  </si>
  <si>
    <t>Cítoliby</t>
  </si>
  <si>
    <t>Ceský Tešín 1</t>
  </si>
  <si>
    <t>Kladno 3</t>
  </si>
  <si>
    <t>Volduchy</t>
  </si>
  <si>
    <t>Provodín</t>
  </si>
  <si>
    <t>Bystrice nad Olší</t>
  </si>
  <si>
    <t>Praha 511</t>
  </si>
  <si>
    <t>Mnichovo Hradište</t>
  </si>
  <si>
    <t>Planá u Mariánských Lázní</t>
  </si>
  <si>
    <t>Štíty</t>
  </si>
  <si>
    <t>Jaromer 1</t>
  </si>
  <si>
    <t>Most 1</t>
  </si>
  <si>
    <t>Mníšek pod Brdy</t>
  </si>
  <si>
    <t>Svratka</t>
  </si>
  <si>
    <t>Skalsko</t>
  </si>
  <si>
    <t>Klenovice na Hané</t>
  </si>
  <si>
    <t>Jankov</t>
  </si>
  <si>
    <t>Humpolec</t>
  </si>
  <si>
    <t>Jistebnice</t>
  </si>
  <si>
    <t>Petipsy</t>
  </si>
  <si>
    <t>Hrobce</t>
  </si>
  <si>
    <t>Bruntál 1</t>
  </si>
  <si>
    <t>Bobnice</t>
  </si>
  <si>
    <t>Brasy 1</t>
  </si>
  <si>
    <t>Vráž u Písku</t>
  </si>
  <si>
    <t>Libechov</t>
  </si>
  <si>
    <t>Vlkoš u Kyjova</t>
  </si>
  <si>
    <t>Ústí nad Labem 2</t>
  </si>
  <si>
    <t>Brodek u Prerova</t>
  </si>
  <si>
    <t>Toužim</t>
  </si>
  <si>
    <t>Lesonice</t>
  </si>
  <si>
    <t>Kacice</t>
  </si>
  <si>
    <t>Brno 42</t>
  </si>
  <si>
    <t>Jablonné nad Orlicí</t>
  </si>
  <si>
    <t>Svitavy 2</t>
  </si>
  <si>
    <t>Rícany u Prahy</t>
  </si>
  <si>
    <t>Borek</t>
  </si>
  <si>
    <t>Dobrá Voda u Ceských Budejovic</t>
  </si>
  <si>
    <t>Vítkov 1</t>
  </si>
  <si>
    <t>Nebahovy</t>
  </si>
  <si>
    <t>Rokycany 1</t>
  </si>
  <si>
    <t>Hustopece u Brna</t>
  </si>
  <si>
    <t>Volfartice</t>
  </si>
  <si>
    <t>Pelhrimov</t>
  </si>
  <si>
    <t>Bezverov</t>
  </si>
  <si>
    <t>Tišnov 3</t>
  </si>
  <si>
    <t>Sušice 1</t>
  </si>
  <si>
    <t>Adamov 1</t>
  </si>
  <si>
    <t>Dvorce u Bruntálu</t>
  </si>
  <si>
    <t>Teplice 1</t>
  </si>
  <si>
    <t>Dvur Králové nad Labem</t>
  </si>
  <si>
    <t>Hroznetín</t>
  </si>
  <si>
    <t>Bavorov</t>
  </si>
  <si>
    <t>Jindrichuv Hradec 1</t>
  </si>
  <si>
    <t>Velké Heraltice</t>
  </si>
  <si>
    <t>Bystrice nad Pernštejnem</t>
  </si>
  <si>
    <t>Strmilov</t>
  </si>
  <si>
    <t>Náchod 1</t>
  </si>
  <si>
    <t>Smilkov</t>
  </si>
  <si>
    <t>Lanškroun</t>
  </si>
  <si>
    <t>Dolní Belá</t>
  </si>
  <si>
    <t>Jedovnice</t>
  </si>
  <si>
    <t>Trebíc 1</t>
  </si>
  <si>
    <t>Nová Paka</t>
  </si>
  <si>
    <t>Týnec nad Labem</t>
  </si>
  <si>
    <t>Holoubkov</t>
  </si>
  <si>
    <t>Dobríš</t>
  </si>
  <si>
    <t>Stod</t>
  </si>
  <si>
    <t>Nové Mesto nad Metují 1</t>
  </si>
  <si>
    <t>Sezemice</t>
  </si>
  <si>
    <t>Vernerice</t>
  </si>
  <si>
    <t>Výsluní</t>
  </si>
  <si>
    <t>Ludgerovice</t>
  </si>
  <si>
    <t>Nový Bydžov</t>
  </si>
  <si>
    <t>Stráž pod Ralskem</t>
  </si>
  <si>
    <t>Jablonec nad Nisou 4</t>
  </si>
  <si>
    <t>Hvozdnice</t>
  </si>
  <si>
    <t>Unhošt</t>
  </si>
  <si>
    <t>Zdounky</t>
  </si>
  <si>
    <t>Domaželice u Prerova</t>
  </si>
  <si>
    <t>Kostelec u Holešova</t>
  </si>
  <si>
    <t>Mšec</t>
  </si>
  <si>
    <t>Šlapanov</t>
  </si>
  <si>
    <t>Lubná u Rakovníka</t>
  </si>
  <si>
    <t>Malšice</t>
  </si>
  <si>
    <t>Hranice 4</t>
  </si>
  <si>
    <t>Boskovice</t>
  </si>
  <si>
    <t>Dolní Kounice</t>
  </si>
  <si>
    <t>Horice v Podkrkonoší</t>
  </si>
  <si>
    <t>Pyšely</t>
  </si>
  <si>
    <t>Všelibice</t>
  </si>
  <si>
    <t>Chlumec u Ústí nad Labem</t>
  </si>
  <si>
    <t>Stará Hut u Dobríše</t>
  </si>
  <si>
    <t>Lipník nad Becvou</t>
  </si>
  <si>
    <t>Chlumec nad Cidlinou</t>
  </si>
  <si>
    <t>Straškov-Vodochody</t>
  </si>
  <si>
    <t>Mimon</t>
  </si>
  <si>
    <t>Jirice u Miroslavi</t>
  </si>
  <si>
    <t>Horovice</t>
  </si>
  <si>
    <t>Kopidlno</t>
  </si>
  <si>
    <t>Dolní Bukovsko</t>
  </si>
  <si>
    <t>Majdalena</t>
  </si>
  <si>
    <t>Olšany u Šumperka</t>
  </si>
  <si>
    <t>Prepere</t>
  </si>
  <si>
    <t>Hronov 1</t>
  </si>
  <si>
    <t>Neveklov</t>
  </si>
  <si>
    <t>Troubelice</t>
  </si>
  <si>
    <t>Knežice u Mestce Králové</t>
  </si>
  <si>
    <t>Plumlov</t>
  </si>
  <si>
    <t>Melník 1</t>
  </si>
  <si>
    <t>Kamýk nad Vltavou</t>
  </si>
  <si>
    <t>Ždár nad Sázavou 2</t>
  </si>
  <si>
    <t>Vejprty</t>
  </si>
  <si>
    <t>Boršice u Buchlovic</t>
  </si>
  <si>
    <t>Sychrov</t>
  </si>
  <si>
    <t>Záchlumí</t>
  </si>
  <si>
    <t>Bor u Tachova</t>
  </si>
  <si>
    <t>Osová Bítýška</t>
  </si>
  <si>
    <t>Staré Krecany</t>
  </si>
  <si>
    <t>Liberec 15</t>
  </si>
  <si>
    <t>Protivín</t>
  </si>
  <si>
    <t>Horice na Šumave</t>
  </si>
  <si>
    <t>Žatec 1</t>
  </si>
  <si>
    <t>Odolena Voda</t>
  </si>
  <si>
    <t>Opava 6</t>
  </si>
  <si>
    <t>Starý Bydžov</t>
  </si>
  <si>
    <t>Nebužely</t>
  </si>
  <si>
    <t>Chodouny</t>
  </si>
  <si>
    <t>Telc</t>
  </si>
  <si>
    <t>Kutná Hora 1</t>
  </si>
  <si>
    <t>Týnec nad Sázavou</t>
  </si>
  <si>
    <t>Krhanice</t>
  </si>
  <si>
    <t>Olbramovice u Moravského Krumlova</t>
  </si>
  <si>
    <t>Unicov 1</t>
  </si>
  <si>
    <t>Nížkov</t>
  </si>
  <si>
    <t>Úpice</t>
  </si>
  <si>
    <t>Želešice</t>
  </si>
  <si>
    <t>Písek 1</t>
  </si>
  <si>
    <t>Dolní Dunajovice</t>
  </si>
  <si>
    <t>Stežery</t>
  </si>
  <si>
    <t>Záborí u Blatné</t>
  </si>
  <si>
    <t>Rynárec</t>
  </si>
  <si>
    <t>Sudice</t>
  </si>
  <si>
    <t>Rudolfov</t>
  </si>
  <si>
    <t>Chlumín</t>
  </si>
  <si>
    <t>Žalany</t>
  </si>
  <si>
    <t>Mirošov 1</t>
  </si>
  <si>
    <t>Stráž nad Nežárkou</t>
  </si>
  <si>
    <t>Sedlcany</t>
  </si>
  <si>
    <t>Starec</t>
  </si>
  <si>
    <t>Trebechovice pod Orebem</t>
  </si>
  <si>
    <t>Cisovice</t>
  </si>
  <si>
    <t>Klatovy 1</t>
  </si>
  <si>
    <t>Mohelno</t>
  </si>
  <si>
    <t>Všestary</t>
  </si>
  <si>
    <t>Jevícko</t>
  </si>
  <si>
    <t>Slapy nad Vltavou</t>
  </si>
  <si>
    <t>Nemcice nad Hanou</t>
  </si>
  <si>
    <t>Kolinec</t>
  </si>
  <si>
    <t>Benešov nad Cernou</t>
  </si>
  <si>
    <t>Slavicín</t>
  </si>
  <si>
    <t>Potštát</t>
  </si>
  <si>
    <t>Oleksovice</t>
  </si>
  <si>
    <t>Nýrany</t>
  </si>
  <si>
    <t>Benešov u Prahy</t>
  </si>
  <si>
    <t>Lomnice u Rýmarova</t>
  </si>
  <si>
    <t>Vír</t>
  </si>
  <si>
    <t>Preštice</t>
  </si>
  <si>
    <t>Želatovice</t>
  </si>
  <si>
    <t>Ckyne</t>
  </si>
  <si>
    <t>Okríšky</t>
  </si>
  <si>
    <t>Žihle</t>
  </si>
  <si>
    <t>Cernošice</t>
  </si>
  <si>
    <t>Velká Bíteš</t>
  </si>
  <si>
    <t>Jirkov 1</t>
  </si>
  <si>
    <t>Mestec Králové</t>
  </si>
  <si>
    <t>Kolovec</t>
  </si>
  <si>
    <t>Prosimerice</t>
  </si>
  <si>
    <t>Sec 1</t>
  </si>
  <si>
    <t>Svojšice u Prelouce</t>
  </si>
  <si>
    <t>Ceské Budejovice 1</t>
  </si>
  <si>
    <t>Jablunka nad Becvou</t>
  </si>
  <si>
    <t>Domažlice 1</t>
  </si>
  <si>
    <t>Lužany</t>
  </si>
  <si>
    <t>Citonice</t>
  </si>
  <si>
    <t>Hlubocky 3</t>
  </si>
  <si>
    <t>Malonty</t>
  </si>
  <si>
    <t>Trutnov 1</t>
  </si>
  <si>
    <t>Zvole u Prahy</t>
  </si>
  <si>
    <t>Cervená Recice</t>
  </si>
  <si>
    <t>Dymokury</t>
  </si>
  <si>
    <t>Moravany u Brna</t>
  </si>
  <si>
    <t>Bozkov</t>
  </si>
  <si>
    <t>Zlobice</t>
  </si>
  <si>
    <t>Malec</t>
  </si>
  <si>
    <t>Drítec</t>
  </si>
  <si>
    <t>Vápno u Prelouce</t>
  </si>
  <si>
    <t>Oldrichov u Duchcova</t>
  </si>
  <si>
    <t>Vraný u Slaného</t>
  </si>
  <si>
    <t>Borovany</t>
  </si>
  <si>
    <t>Police nad Metují</t>
  </si>
  <si>
    <t>Lodenice u Moravského Krumlova</t>
  </si>
  <si>
    <t>Tálín</t>
  </si>
  <si>
    <t>Miletín</t>
  </si>
  <si>
    <t>Božejov</t>
  </si>
  <si>
    <t>Bukovany u Hodonína</t>
  </si>
  <si>
    <t>Myslocovice</t>
  </si>
  <si>
    <t>Bridlicná</t>
  </si>
  <si>
    <t>Vráž u Berouna</t>
  </si>
  <si>
    <t>Morkovice-Slížany</t>
  </si>
  <si>
    <t>Nová Ves u Chotebore</t>
  </si>
  <si>
    <t>Broumov 1</t>
  </si>
  <si>
    <t>Mokré Lazce</t>
  </si>
  <si>
    <t>Nedašov</t>
  </si>
  <si>
    <t>Stankovice u Žatce</t>
  </si>
  <si>
    <t>Krásný Dvur</t>
  </si>
  <si>
    <t>Kralovice</t>
  </si>
  <si>
    <t>Sedlice u Blatné</t>
  </si>
  <si>
    <t>Krešín u Pacova</t>
  </si>
  <si>
    <t>Karlštejn</t>
  </si>
  <si>
    <t>Libán</t>
  </si>
  <si>
    <t>město2</t>
  </si>
  <si>
    <t>Vodňany</t>
  </si>
  <si>
    <t>email2</t>
  </si>
  <si>
    <t>albert.karel@firmaabc.cz</t>
  </si>
  <si>
    <t>capkova.martina@firmaabc.cz</t>
  </si>
  <si>
    <t>svoboda.vladimir@firmaabc.cz</t>
  </si>
  <si>
    <t>holy.lumir@firmaabc.cz</t>
  </si>
  <si>
    <t>mikesova.kvetoslava@firmaabc.cz</t>
  </si>
  <si>
    <t>glogar.jan@firmaabc.cz</t>
  </si>
  <si>
    <t>zelnickova.jana@firmaabc.cz</t>
  </si>
  <si>
    <t>kopecek.michal@firmaabc.cz</t>
  </si>
  <si>
    <t>haklova.karolina@firmaabc.cz</t>
  </si>
  <si>
    <t>steflova.miroslava@firmaabc.cz</t>
  </si>
  <si>
    <t>reichova.ivana@firmaabc.cz</t>
  </si>
  <si>
    <t>vymazalova.marie@firmaabc.cz</t>
  </si>
  <si>
    <t>kubes.tomas@firmaabc.cz</t>
  </si>
  <si>
    <t>kupska.marie@firmaabc.cz</t>
  </si>
  <si>
    <t>norkova.ludmila@firmaabc.cz</t>
  </si>
  <si>
    <t>stanek.miroslav@firmaabc.cz</t>
  </si>
  <si>
    <t>jedlicka.vladimir@firmaabc.cz</t>
  </si>
  <si>
    <t>fiserova.natalie@firmaabc.cz</t>
  </si>
  <si>
    <t>karlova.dagmar@firmaabc.cz</t>
  </si>
  <si>
    <t>sliva.karel@firmaabc.cz</t>
  </si>
  <si>
    <t>skopkova.iva@firmaabc.cz</t>
  </si>
  <si>
    <t>dusek.jakub@firmaabc.cz</t>
  </si>
  <si>
    <t>janus.daniel@firmaabc.cz</t>
  </si>
  <si>
    <t>smejkalova.jitka@firmaabc.cz</t>
  </si>
  <si>
    <t>uvira.miroslav@firmaabc.cz</t>
  </si>
  <si>
    <t>skalska.katerina@firmaabc.cz</t>
  </si>
  <si>
    <t>simunek.martin@firmaabc.cz</t>
  </si>
  <si>
    <t>chlubna.pavel@firmaabc.cz</t>
  </si>
  <si>
    <t>kubistova.vera@firmaabc.cz</t>
  </si>
  <si>
    <t>hovorka.vladimir@firmaabc.cz</t>
  </si>
  <si>
    <t>vesely.lukas@firmaabc.cz</t>
  </si>
  <si>
    <t>klingerova.karolina@firmaabc.cz</t>
  </si>
  <si>
    <t>tuma.frantisek@firmaabc.cz</t>
  </si>
  <si>
    <t>vasickova.alena@firmaabc.cz</t>
  </si>
  <si>
    <t>prihodova.sarka@firmaabc.cz</t>
  </si>
  <si>
    <t>sedlak.oldrich@firmaabc.cz</t>
  </si>
  <si>
    <t>?dvorak.jiri@firmaabc.cz</t>
  </si>
  <si>
    <t>dankova.radomila@firmaabc.cz</t>
  </si>
  <si>
    <t>bradacova.marie@firmaabc.cz</t>
  </si>
  <si>
    <t>skaloud.karel@firmaabc.cz</t>
  </si>
  <si>
    <t>mullerova.veronika@firmaabc.cz</t>
  </si>
  <si>
    <t>lukasek.filip@firmaabc.cz</t>
  </si>
  <si>
    <t>bartos.vladislav@firmaabc.cz</t>
  </si>
  <si>
    <t>platenikova.dominika@firmaabc.cz</t>
  </si>
  <si>
    <t>miksovsky.ondrej@firmaabc.cz</t>
  </si>
  <si>
    <t>janickova.iveta@firmaabc.cz</t>
  </si>
  <si>
    <t>kubatova.katerina@firmaabc.cz</t>
  </si>
  <si>
    <t>horvath.pavel@firmaabc.cz</t>
  </si>
  <si>
    <t>chudobova.hana@firmaabc.cz</t>
  </si>
  <si>
    <t>drahos.josef@firmaabc.cz</t>
  </si>
  <si>
    <t>neoral.ondrej@firmaabc.cz</t>
  </si>
  <si>
    <t>kubica.jan@firmaabc.cz</t>
  </si>
  <si>
    <t>hluchnik.stepan@firmaabc.cz</t>
  </si>
  <si>
    <t>svedova.iveta@firmaabc.cz</t>
  </si>
  <si>
    <t>cerna.jaroslava@firmaabc.cz</t>
  </si>
  <si>
    <t>novak.frantisek@firmaabc.cz</t>
  </si>
  <si>
    <t>soukupova.zdenka@firmaabc.cz</t>
  </si>
  <si>
    <t>horacek.vladimir@firmaabc.cz</t>
  </si>
  <si>
    <t>tesarik.david@firmaabc.cz</t>
  </si>
  <si>
    <t>plachy.michal@firmaabc.cz</t>
  </si>
  <si>
    <t>helesic.jan@firmaabc.cz</t>
  </si>
  <si>
    <t>kubatova.hana@firmaabc.cz</t>
  </si>
  <si>
    <t>matejcek.jaroslav@firmaabc.cz</t>
  </si>
  <si>
    <t>janecek.kamil@firmaabc.cz</t>
  </si>
  <si>
    <t>prusova.hana@firmaabc.cz</t>
  </si>
  <si>
    <t>jelinek.radek@firmaabc.cz</t>
  </si>
  <si>
    <t>moravcova.jana@firmaabc.cz</t>
  </si>
  <si>
    <t>komarek.jakub@firmaabc.cz</t>
  </si>
  <si>
    <t>miklikova.hana@firmaabc.cz</t>
  </si>
  <si>
    <t>stursa.pavel@firmaabc.cz</t>
  </si>
  <si>
    <t>trcka.lukas@firmaabc.cz</t>
  </si>
  <si>
    <t>?novak.martin@firmaabc.cz</t>
  </si>
  <si>
    <t>martinkova.regina@firmaabc.cz</t>
  </si>
  <si>
    <t>polach.rudolf@firmaabc.cz</t>
  </si>
  <si>
    <t>palek.daniel@firmaabc.cz</t>
  </si>
  <si>
    <t>?kucera.petr@firmaabc.cz</t>
  </si>
  <si>
    <t>kratochvil.david@firmaabc.cz</t>
  </si>
  <si>
    <t>ruzickova.jaroslava@firmaabc.cz</t>
  </si>
  <si>
    <t>volf.marek@firmaabc.cz</t>
  </si>
  <si>
    <t>cahlikova.marie@firmaabc.cz</t>
  </si>
  <si>
    <t>mudrova.nada@firmaabc.cz</t>
  </si>
  <si>
    <t>pazourek.jiri@firmaabc.cz</t>
  </si>
  <si>
    <t>polakova.silvie@firmaabc.cz</t>
  </si>
  <si>
    <t>kurkova.marie@firmaabc.cz</t>
  </si>
  <si>
    <t>vala.zdenek@firmaabc.cz</t>
  </si>
  <si>
    <t>macku.martin@firmaabc.cz</t>
  </si>
  <si>
    <t>tuckova.miroslava@firmaabc.cz</t>
  </si>
  <si>
    <t>kopal.antonin@firmaabc.cz</t>
  </si>
  <si>
    <t>ostadal.roman@firmaabc.cz</t>
  </si>
  <si>
    <t>bartosek.oto@firmaabc.cz</t>
  </si>
  <si>
    <t>huml.miloslav@firmaabc.cz</t>
  </si>
  <si>
    <t>roznovska.jitka@firmaabc.cz</t>
  </si>
  <si>
    <t>plackova.eva@firmaabc.cz</t>
  </si>
  <si>
    <t>fridrich.martin@firmaabc.cz</t>
  </si>
  <si>
    <t>hrbac.bohuslav@firmaabc.cz</t>
  </si>
  <si>
    <t>koznar.martin@firmaabc.cz</t>
  </si>
  <si>
    <t>horak.robert@firmaabc.cz</t>
  </si>
  <si>
    <t>kockova.marie@firmaabc.cz</t>
  </si>
  <si>
    <t>lerchova.anna@firmaabc.cz</t>
  </si>
  <si>
    <t>bartosova.hana@firmaabc.cz</t>
  </si>
  <si>
    <t>dohnal.jaroslav@firmaabc.cz</t>
  </si>
  <si>
    <t>gabriel.vladimir@firmaabc.cz</t>
  </si>
  <si>
    <t>gorol.josef@firmaabc.cz</t>
  </si>
  <si>
    <t>mayerova.zaneta@firmaabc.cz</t>
  </si>
  <si>
    <t>vondrasek.jan@firmaabc.cz</t>
  </si>
  <si>
    <t>rapantova.jindriska@firmaabc.cz</t>
  </si>
  <si>
    <t>konecny.petr@firmaabc.cz</t>
  </si>
  <si>
    <t>bartos.jiri@firmaabc.cz</t>
  </si>
  <si>
    <t>cernohousova.jirina@firmaabc.cz</t>
  </si>
  <si>
    <t>salova.margit@firmaabc.cz</t>
  </si>
  <si>
    <t>stoudek.petr@firmaabc.cz</t>
  </si>
  <si>
    <t>kratochvil.pavel@firmaabc.cz</t>
  </si>
  <si>
    <t>silhan.sergii@firmaabc.cz</t>
  </si>
  <si>
    <t>dolezalova.lenka@firmaabc.cz</t>
  </si>
  <si>
    <t>conka.lukas@firmaabc.cz</t>
  </si>
  <si>
    <t>slavicek.stanislav@firmaabc.cz</t>
  </si>
  <si>
    <t>kratochvilova.lucie@firmaabc.cz</t>
  </si>
  <si>
    <t>kubasek.tomas@firmaabc.cz</t>
  </si>
  <si>
    <t>krejci.jaroslava@firmaabc.cz</t>
  </si>
  <si>
    <t>?svoboda.jakub@firmaabc.cz</t>
  </si>
  <si>
    <t>borovickova.helena@firmaabc.cz</t>
  </si>
  <si>
    <t>petr.jan@firmaabc.cz</t>
  </si>
  <si>
    <t>hegr.milan@firmaabc.cz</t>
  </si>
  <si>
    <t>zdarsky.jan@firmaabc.cz</t>
  </si>
  <si>
    <t>kureckova.klaudie@firmaabc.cz</t>
  </si>
  <si>
    <t>?prochazka.josef@firmaabc.cz</t>
  </si>
  <si>
    <t>nedvedova.zuzana@firmaabc.cz</t>
  </si>
  <si>
    <t>tuma.stanislav@firmaabc.cz</t>
  </si>
  <si>
    <t>matal.lubos@firmaabc.cz</t>
  </si>
  <si>
    <t>hlavata.pavlina@firmaabc.cz</t>
  </si>
  <si>
    <t>sopik.bohumil@firmaabc.cz</t>
  </si>
  <si>
    <t>jaros.jan@firmaabc.cz</t>
  </si>
  <si>
    <t>petrik.petr@firmaabc.cz</t>
  </si>
  <si>
    <t>?cerny.jaroslav@firmaabc.cz</t>
  </si>
  <si>
    <t>kubelka.pavel@firmaabc.cz</t>
  </si>
  <si>
    <t>jirku.irina@firmaabc.cz</t>
  </si>
  <si>
    <t>straka.petr@firmaabc.cz</t>
  </si>
  <si>
    <t>kubatova.daria@firmaabc.cz</t>
  </si>
  <si>
    <t>hajkova.danuse@firmaabc.cz</t>
  </si>
  <si>
    <t>sucha.eva@firmaabc.cz</t>
  </si>
  <si>
    <t>lukesova.gertruda@firmaabc.cz</t>
  </si>
  <si>
    <t>tvrda.katerina@firmaabc.cz</t>
  </si>
  <si>
    <t>jarkovsky.miloslav@firmaabc.cz</t>
  </si>
  <si>
    <t>?novak.david@firmaabc.cz</t>
  </si>
  <si>
    <t>rozek.ondrej@firmaabc.cz</t>
  </si>
  <si>
    <t>vacek.lubos@firmaabc.cz</t>
  </si>
  <si>
    <t>vychodil.jan@firmaabc.cz</t>
  </si>
  <si>
    <t>strejcek.jiri@firmaabc.cz</t>
  </si>
  <si>
    <t>levy.vladimir@firmaabc.cz</t>
  </si>
  <si>
    <t>tomecek.vladimir@firmaabc.cz</t>
  </si>
  <si>
    <t>vaneckova.katerina@firmaabc.cz</t>
  </si>
  <si>
    <t>landova.anna@firmaabc.cz</t>
  </si>
  <si>
    <t>canda.oldrich@firmaabc.cz</t>
  </si>
  <si>
    <t>nguyen.zdenek@firmaabc.cz</t>
  </si>
  <si>
    <t>martan.jaroslav@firmaabc.cz</t>
  </si>
  <si>
    <t>radova.jirina@firmaabc.cz</t>
  </si>
  <si>
    <t>beran.josef@firmaabc.cz</t>
  </si>
  <si>
    <t>burianova.lenka@firmaabc.cz</t>
  </si>
  <si>
    <t>hasmanova.drahomira@firmaabc.cz</t>
  </si>
  <si>
    <t>kadlec.bohuslav@firmaabc.cz</t>
  </si>
  <si>
    <t>kral.pavel@firmaabc.cz</t>
  </si>
  <si>
    <t>korinkova.michaela@firmaabc.cz</t>
  </si>
  <si>
    <t>beran.jaroslav@firmaabc.cz</t>
  </si>
  <si>
    <t>smolikova.dobromila@firmaabc.cz</t>
  </si>
  <si>
    <t>svec.pavel@firmaabc.cz</t>
  </si>
  <si>
    <t>stastny.karel@firmaabc.cz</t>
  </si>
  <si>
    <t>berousek.petr@firmaabc.cz</t>
  </si>
  <si>
    <t>vasickova.ruzena@firmaabc.cz</t>
  </si>
  <si>
    <t>kolajova.marta@firmaabc.cz</t>
  </si>
  <si>
    <t>vavrikova.miroslava@firmaabc.cz</t>
  </si>
  <si>
    <t>brzobohata.jana@firmaabc.cz</t>
  </si>
  <si>
    <t>janecek.milan@firmaabc.cz</t>
  </si>
  <si>
    <t>kozisek.martin@firmaabc.cz</t>
  </si>
  <si>
    <t>richtrova.danuse@firmaabc.cz</t>
  </si>
  <si>
    <t>balazova.milena@firmaabc.cz</t>
  </si>
  <si>
    <t>kulhanek.ludek@firmaabc.cz</t>
  </si>
  <si>
    <t>stejskalova.martina@firmaabc.cz</t>
  </si>
  <si>
    <t>fiser.vlastimil@firmaabc.cz</t>
  </si>
  <si>
    <t>horakova.eva@firmaabc.cz</t>
  </si>
  <si>
    <t>prazak.lukas@firmaabc.cz</t>
  </si>
  <si>
    <t>pisarikova.jana@firmaabc.cz</t>
  </si>
  <si>
    <t>roubicek.tomas@firmaabc.cz</t>
  </si>
  <si>
    <t>rusek.libor@firmaabc.cz</t>
  </si>
  <si>
    <t>belohlavek.josef@firmaabc.cz</t>
  </si>
  <si>
    <t>placek.martin@firmaabc.cz</t>
  </si>
  <si>
    <t>patka.jiri@firmaabc.cz</t>
  </si>
  <si>
    <t>kucera.miroslav@firmaabc.cz</t>
  </si>
  <si>
    <t>krenek.matej@firmaabc.cz</t>
  </si>
  <si>
    <t>turek.petr@firmaabc.cz</t>
  </si>
  <si>
    <t>gavendova.jaroslava@firmaabc.cz</t>
  </si>
  <si>
    <t>machalkova.katerina@firmaabc.cz</t>
  </si>
  <si>
    <t>hlavata.marie@firmaabc.cz</t>
  </si>
  <si>
    <t>dvorak.marek@firmaabc.cz</t>
  </si>
  <si>
    <t>prochazkova.romana@firmaabc.cz</t>
  </si>
  <si>
    <t>popovic.david@firmaabc.cz</t>
  </si>
  <si>
    <t>horak.petr@firmaabc.cz</t>
  </si>
  <si>
    <t>petr.karel@firmaabc.cz</t>
  </si>
  <si>
    <t>linhart.pavel@firmaabc.cz</t>
  </si>
  <si>
    <t>adam.jan@firmaabc.cz</t>
  </si>
  <si>
    <t>cardova.vera@firmaabc.cz</t>
  </si>
  <si>
    <t>kocourkova.miroslava@firmaabc.cz</t>
  </si>
  <si>
    <t>novotna.iveta@firmaabc.cz</t>
  </si>
  <si>
    <t>kulhanek.michal@firmaabc.cz</t>
  </si>
  <si>
    <t>knizek.emil@firmaabc.cz</t>
  </si>
  <si>
    <t>kubala.robert@firmaabc.cz</t>
  </si>
  <si>
    <t>?prochazka.robert@firmaabc.cz</t>
  </si>
  <si>
    <t>capkova.petra@firmaabc.cz</t>
  </si>
  <si>
    <t>broz.ivan@firmaabc.cz</t>
  </si>
  <si>
    <t>medkova.sylvie@firmaabc.cz</t>
  </si>
  <si>
    <t>spevacek.ludek@firmaabc.cz</t>
  </si>
  <si>
    <t>soukupova.michaela@firmaabc.cz</t>
  </si>
  <si>
    <t>kamenikova.vera@firmaabc.cz</t>
  </si>
  <si>
    <t>slavik.vladimir@firmaabc.cz</t>
  </si>
  <si>
    <t>frantova.eliska@firmaabc.cz</t>
  </si>
  <si>
    <t>hartmann.milan@firmaabc.cz</t>
  </si>
  <si>
    <t>sigut.christian@firmaabc.cz</t>
  </si>
  <si>
    <t>prochazkova.vanda@firmaabc.cz</t>
  </si>
  <si>
    <t>simkova.eva@firmaabc.cz</t>
  </si>
  <si>
    <t>bohata.karel@firmaabc.cz</t>
  </si>
  <si>
    <t>hrbackova.eliska@firmaabc.cz</t>
  </si>
  <si>
    <t>moravec.josef@firmaabc.cz</t>
  </si>
  <si>
    <t>kopecna.anna@firmaabc.cz</t>
  </si>
  <si>
    <t>honsova.irena@firmaabc.cz</t>
  </si>
  <si>
    <t>hamplova.vlasta@firmaabc.cz</t>
  </si>
  <si>
    <t>kubatova.ivana@firmaabc.cz</t>
  </si>
  <si>
    <t>tomes.ladislav@firmaabc.cz</t>
  </si>
  <si>
    <t>sedova.martina@firmaabc.cz</t>
  </si>
  <si>
    <t>skrivanek.jaroslav@firmaabc.cz</t>
  </si>
  <si>
    <t>grunt.petr@firmaabc.cz</t>
  </si>
  <si>
    <t>janouskova.hana@firmaabc.cz</t>
  </si>
  <si>
    <t>kabelac.lukas@firmaabc.cz</t>
  </si>
  <si>
    <t>kyselova.marie@firmaabc.cz</t>
  </si>
  <si>
    <t>trnecka.petr@firmaabc.cz</t>
  </si>
  <si>
    <t>zivna.anezka@firmaabc.cz</t>
  </si>
  <si>
    <t>prazak.jiri@firmaabc.cz</t>
  </si>
  <si>
    <t>klas.josef@firmaabc.cz</t>
  </si>
  <si>
    <t>puncocharova.jana@firmaabc.cz</t>
  </si>
  <si>
    <t>zouhar.miroslav@firmaabc.cz</t>
  </si>
  <si>
    <t>karasova.ivana@firmaabc.cz</t>
  </si>
  <si>
    <t>krizova.monika@firmaabc.cz</t>
  </si>
  <si>
    <t>schaferova.ivana@firmaabc.cz</t>
  </si>
  <si>
    <t>ferko.vladimir@firmaabc.cz</t>
  </si>
  <si>
    <t>faltus.boleslav@firmaabc.cz</t>
  </si>
  <si>
    <t>sladek.jaroslav@firmaabc.cz</t>
  </si>
  <si>
    <t>juricova.hana@firmaabc.cz</t>
  </si>
  <si>
    <t>jelinek.martin@firmaabc.cz</t>
  </si>
  <si>
    <t>vostrelova.kristyna@firmaabc.cz</t>
  </si>
  <si>
    <t>kolarova.michaela@firmaabc.cz</t>
  </si>
  <si>
    <t>slezak.jaroslav@firmaabc.cz</t>
  </si>
  <si>
    <t>sibor.jan@firmaabc.cz</t>
  </si>
  <si>
    <t>kalenda.karel@firmaabc.cz</t>
  </si>
  <si>
    <t>kutalek.david@firmaabc.cz</t>
  </si>
  <si>
    <t>sykorova.viktorie@firmaabc.cz</t>
  </si>
  <si>
    <t>?svoboda.miroslav@firmaabc.cz</t>
  </si>
  <si>
    <t>hartl.david@firmaabc.cz</t>
  </si>
  <si>
    <t>kula.stanislav@firmaabc.cz</t>
  </si>
  <si>
    <t>mestan.vladimir@firmaabc.cz</t>
  </si>
  <si>
    <t>sadovsky.frantisek@firmaabc.cz</t>
  </si>
  <si>
    <t>pinkasova.nikola@firmaabc.cz</t>
  </si>
  <si>
    <t>frohlichova.zaneta@firmaabc.cz</t>
  </si>
  <si>
    <t>radil.michal@firmaabc.cz</t>
  </si>
  <si>
    <t>kapoun.patrik@firmaabc.cz</t>
  </si>
  <si>
    <t>kocourek.libor@firmaabc.cz</t>
  </si>
  <si>
    <t>jurecka.jan@firmaabc.cz</t>
  </si>
  <si>
    <t>horackova.karolina@firmaabc.cz</t>
  </si>
  <si>
    <t>holusa.lukas@firmaabc.cz</t>
  </si>
  <si>
    <t>krajcovic.vladimir@firmaabc.cz</t>
  </si>
  <si>
    <t>andrle.zdenek@firmaabc.cz</t>
  </si>
  <si>
    <t>fiserova.anna@firmaabc.cz</t>
  </si>
  <si>
    <t>vymazal.pavel@firmaabc.cz</t>
  </si>
  <si>
    <t>souralova.dagmar@firmaabc.cz</t>
  </si>
  <si>
    <t>skoda.jaroslav@firmaabc.cz</t>
  </si>
  <si>
    <t>hajkova.kristyna@firmaabc.cz</t>
  </si>
  <si>
    <t>doubravova.eva@firmaabc.cz</t>
  </si>
  <si>
    <t>?prochazka.marcel@firmaabc.cz</t>
  </si>
  <si>
    <t>rysavy.lukas@firmaabc.cz</t>
  </si>
  <si>
    <t>dedic.jiri@firmaabc.cz</t>
  </si>
  <si>
    <t>?cerny.lukas@firmaabc.cz</t>
  </si>
  <si>
    <t>?horak.lukas@firmaabc.cz</t>
  </si>
  <si>
    <t>konecny.michal@firmaabc.cz</t>
  </si>
  <si>
    <t>halfarova.eva@firmaabc.cz</t>
  </si>
  <si>
    <t>gorolova.ruzena@firmaabc.cz</t>
  </si>
  <si>
    <t>petras.david@firmaabc.cz</t>
  </si>
  <si>
    <t>chytilova.lucie@firmaabc.cz</t>
  </si>
  <si>
    <t>poul.boleslav@firmaabc.cz</t>
  </si>
  <si>
    <t>liska.ludek@firmaabc.cz</t>
  </si>
  <si>
    <t>luksova.eva@firmaabc.cz</t>
  </si>
  <si>
    <t>rak.oldrich@firmaabc.cz</t>
  </si>
  <si>
    <t>benesova.jana@firmaabc.cz</t>
  </si>
  <si>
    <t>vaneckova.radka@firmaabc.cz</t>
  </si>
  <si>
    <t>masterova.miluse@firmaabc.cz</t>
  </si>
  <si>
    <t>prochazka.bohuslav@firmaabc.cz</t>
  </si>
  <si>
    <t>pospisilova.vladimira@firmaabc.cz</t>
  </si>
  <si>
    <t>repa.vlastislav@firmaabc.cz</t>
  </si>
  <si>
    <t>krausova.ruzena@firmaabc.cz</t>
  </si>
  <si>
    <t>machacek.roman@firmaabc.cz</t>
  </si>
  <si>
    <t>kejvalova.lenka@firmaabc.cz</t>
  </si>
  <si>
    <t>hrdinova.hana@firmaabc.cz</t>
  </si>
  <si>
    <t>novak.jan@firmaabc.cz</t>
  </si>
  <si>
    <t>novakova.marcela@firmaabc.cz</t>
  </si>
  <si>
    <t>zednikova.eva@firmaabc.cz</t>
  </si>
  <si>
    <t>stiborova.ema@firmaabc.cz</t>
  </si>
  <si>
    <t>provaznikova.jirina@firmaabc.cz</t>
  </si>
  <si>
    <t>forejtova.bozena@firmaabc.cz</t>
  </si>
  <si>
    <t>hrabetova.valerie@firmaabc.cz</t>
  </si>
  <si>
    <t>zetkova.maria@firmaabc.cz</t>
  </si>
  <si>
    <t>jindrichova.renata@firmaabc.cz</t>
  </si>
  <si>
    <t>zatloukal.jan@firmaabc.cz</t>
  </si>
  <si>
    <t>vodehnal.michal@firmaabc.cz</t>
  </si>
  <si>
    <t>beneda.antonin@firmaabc.cz</t>
  </si>
  <si>
    <t>navratilova.andrea@firmaabc.cz</t>
  </si>
  <si>
    <t>charvat.jiri@firmaabc.cz</t>
  </si>
  <si>
    <t>hejna.marie@firmaabc.cz</t>
  </si>
  <si>
    <t>zelena.katerina@firmaabc.cz</t>
  </si>
  <si>
    <t>eliasova.eva@firmaabc.cz</t>
  </si>
  <si>
    <t>prusova.radka@firmaabc.cz</t>
  </si>
  <si>
    <t>uhlir.rudolf@firmaabc.cz</t>
  </si>
  <si>
    <t>zavadil.petr@firmaabc.cz</t>
  </si>
  <si>
    <t>pajer.milan@firmaabc.cz</t>
  </si>
  <si>
    <t>karafiatova.vlastimila@firmaabc.cz</t>
  </si>
  <si>
    <t>domansky.vlastimil@firmaabc.cz</t>
  </si>
  <si>
    <t>uchytilova.lenka@firmaabc.cz</t>
  </si>
  <si>
    <t>vladykova.jolana@firmaabc.cz</t>
  </si>
  <si>
    <t>lahodova.renata@firmaabc.cz</t>
  </si>
  <si>
    <t>flidrova.pavlina@firmaabc.cz</t>
  </si>
  <si>
    <t>havrdova.jana@firmaabc.cz</t>
  </si>
  <si>
    <t>vesela.marie@firmaabc.cz</t>
  </si>
  <si>
    <t>matejkova.viktoriya@firmaabc.cz</t>
  </si>
  <si>
    <t>necas.frantisek@firmaabc.cz</t>
  </si>
  <si>
    <t>petr.daniel@firmaabc.cz</t>
  </si>
  <si>
    <t>souckova.marcela@firmaabc.cz</t>
  </si>
  <si>
    <t>taborska.danuska@firmaabc.cz</t>
  </si>
  <si>
    <t>kafkova.helena@firmaabc.cz</t>
  </si>
  <si>
    <t>novotny.jaroslav@firmaabc.cz</t>
  </si>
  <si>
    <t>lastuvka.petr@firmaabc.cz</t>
  </si>
  <si>
    <t>oslejskova.karla@firmaabc.cz</t>
  </si>
  <si>
    <t>dockal.lukas@firmaabc.cz</t>
  </si>
  <si>
    <t>hubkova.marketa@firmaabc.cz</t>
  </si>
  <si>
    <t>olivova.jana@firmaabc.cz</t>
  </si>
  <si>
    <t>jezek.frantisek@firmaabc.cz</t>
  </si>
  <si>
    <t>skoupa.sarka@firmaabc.cz</t>
  </si>
  <si>
    <t>mikula.marek@firmaabc.cz</t>
  </si>
  <si>
    <t>koubkova.jana@firmaabc.cz</t>
  </si>
  <si>
    <t>hajek.marek@firmaabc.cz</t>
  </si>
  <si>
    <t>majorova.julie@firmaabc.cz</t>
  </si>
  <si>
    <t>hofman.stanislav@firmaabc.cz</t>
  </si>
  <si>
    <t>novakova.anna@firmaabc.cz</t>
  </si>
  <si>
    <t>olah.zdenek@firmaabc.cz</t>
  </si>
  <si>
    <t>fiser.roman@firmaabc.cz</t>
  </si>
  <si>
    <t>simon.milan@firmaabc.cz</t>
  </si>
  <si>
    <t>mitasova.marketa@firmaabc.cz</t>
  </si>
  <si>
    <t>smutna.veronika@firmaabc.cz</t>
  </si>
  <si>
    <t>zvonicek.libor@firmaabc.cz</t>
  </si>
  <si>
    <t>forst.vladimir@firmaabc.cz</t>
  </si>
  <si>
    <t>vojtkova.vera@firmaabc.cz</t>
  </si>
  <si>
    <t>dubinova.veronika@firmaabc.cz</t>
  </si>
  <si>
    <t>meduna.martin@firmaabc.cz</t>
  </si>
  <si>
    <t>sramek.jakub@firmaabc.cz</t>
  </si>
  <si>
    <t>machova.katerina@firmaabc.cz</t>
  </si>
  <si>
    <t>valenta.boleslav@firmaabc.cz</t>
  </si>
  <si>
    <t>indrakova.jaroslava@firmaabc.cz</t>
  </si>
  <si>
    <t>hostalkova.milena@firmaabc.cz</t>
  </si>
  <si>
    <t>svab.zdenek@firmaabc.cz</t>
  </si>
  <si>
    <t>bockova.dagmar@firmaabc.cz</t>
  </si>
  <si>
    <t>tichy.jakub@firmaabc.cz</t>
  </si>
  <si>
    <t>markova.veronika@firmaabc.cz</t>
  </si>
  <si>
    <t>marecek.karel@firmaabc.cz</t>
  </si>
  <si>
    <t>vicherkova.hana@firmaabc.cz</t>
  </si>
  <si>
    <t>svobodova.nicole@firmaabc.cz</t>
  </si>
  <si>
    <t>conkova.ilona@firmaabc.cz</t>
  </si>
  <si>
    <t>?prochazka.jiri@firmaabc.cz</t>
  </si>
  <si>
    <t>glaser.vincenc@firmaabc.cz</t>
  </si>
  <si>
    <t>pospichal.ladislav@firmaabc.cz</t>
  </si>
  <si>
    <t>brejcha.michal@firmaabc.cz</t>
  </si>
  <si>
    <t>dvorakova.janina@firmaabc.cz</t>
  </si>
  <si>
    <t>kourilova.jaroslava@firmaabc.cz</t>
  </si>
  <si>
    <t>zika.michael@firmaabc.cz</t>
  </si>
  <si>
    <t>hruby.jaromir@firmaabc.cz</t>
  </si>
  <si>
    <t>bolek.josef@firmaabc.cz</t>
  </si>
  <si>
    <t>bockova.michaela@firmaabc.cz</t>
  </si>
  <si>
    <t>homolka.josef@firmaabc.cz</t>
  </si>
  <si>
    <t>duskova.dagmar@firmaabc.cz</t>
  </si>
  <si>
    <t>krusinova.viktorie@firmaabc.cz</t>
  </si>
  <si>
    <t>ondruch.miroslav@firmaabc.cz</t>
  </si>
  <si>
    <t>ederova.jana@firmaabc.cz</t>
  </si>
  <si>
    <t>silhankova.janina@firmaabc.cz</t>
  </si>
  <si>
    <t>fabian.dusan@firmaabc.cz</t>
  </si>
  <si>
    <t>popelka.jindrich@firmaabc.cz</t>
  </si>
  <si>
    <t>bednar.stanislav@firmaabc.cz</t>
  </si>
  <si>
    <t>kalikova.karolina@firmaabc.cz</t>
  </si>
  <si>
    <t>karnik.marek@firmaabc.cz</t>
  </si>
  <si>
    <t>pazderova.sabina@firmaabc.cz</t>
  </si>
  <si>
    <t>varga.ivo@firmaabc.cz</t>
  </si>
  <si>
    <t>janda.ivan@firmaabc.cz</t>
  </si>
  <si>
    <t>jechova.evzenie@firmaabc.cz</t>
  </si>
  <si>
    <t>pletichova.sylvie@firmaabc.cz</t>
  </si>
  <si>
    <t>sikora.zdenek@firmaabc.cz</t>
  </si>
  <si>
    <t>toman.viktor@firmaabc.cz</t>
  </si>
  <si>
    <t>turek.ladislav@firmaabc.cz</t>
  </si>
  <si>
    <t>andrlikova.marie@firmaabc.cz</t>
  </si>
  <si>
    <t>suchy.stanislav@firmaabc.cz</t>
  </si>
  <si>
    <t>lindner.ludek@firmaabc.cz</t>
  </si>
  <si>
    <t>sejkorova.barbora@firmaabc.cz</t>
  </si>
  <si>
    <t>maixner.petr@firmaabc.cz</t>
  </si>
  <si>
    <t>klirova.lucie@firmaabc.cz</t>
  </si>
  <si>
    <t>sestak.jiri@firmaabc.cz</t>
  </si>
  <si>
    <t>blazkova.anna@firmaabc.cz</t>
  </si>
  <si>
    <t>hanzlikova.eva@firmaabc.cz</t>
  </si>
  <si>
    <t>sadilkova.stella@firmaabc.cz</t>
  </si>
  <si>
    <t>duskova.helena@firmaabc.cz</t>
  </si>
  <si>
    <t>simanova.aneta@firmaabc.cz</t>
  </si>
  <si>
    <t>sedlak.robert@firmaabc.cz</t>
  </si>
  <si>
    <t>kalivodova.katerina@firmaabc.cz</t>
  </si>
  <si>
    <t>rihackova.emilie@firmaabc.cz</t>
  </si>
  <si>
    <t>sedivy.ondrej@firmaabc.cz</t>
  </si>
  <si>
    <t>mikulenkova.eva@firmaabc.cz</t>
  </si>
  <si>
    <t>macoun.tomas@firmaabc.cz</t>
  </si>
  <si>
    <t>husar.jaroslav@firmaabc.cz</t>
  </si>
  <si>
    <t>havel.ivan@firmaabc.cz</t>
  </si>
  <si>
    <t>vykopalova.simona@firmaabc.cz</t>
  </si>
  <si>
    <t>pospisil.ondrej@firmaabc.cz</t>
  </si>
  <si>
    <t>mares.ales@firmaabc.cz</t>
  </si>
  <si>
    <t>simonova.michaela@firmaabc.cz</t>
  </si>
  <si>
    <t>horejsi.jiri@firmaabc.cz</t>
  </si>
  <si>
    <t>hanusova.libuse@firmaabc.cz</t>
  </si>
  <si>
    <t>hendrych.jakub@firmaabc.cz</t>
  </si>
  <si>
    <t>nosek.jan@firmaabc.cz</t>
  </si>
  <si>
    <t>petera.miroslav@firmaabc.cz</t>
  </si>
  <si>
    <t>richter.jaroslav@firmaabc.cz</t>
  </si>
  <si>
    <t>uhlik.frantisek@firmaabc.cz</t>
  </si>
  <si>
    <t>preckova.kateryna@firmaabc.cz</t>
  </si>
  <si>
    <t>kadlecova.radka@firmaabc.cz</t>
  </si>
  <si>
    <t>zaveska.ludmila@firmaabc.cz</t>
  </si>
  <si>
    <t>kabicek.pavel@firmaabc.cz</t>
  </si>
  <si>
    <t>cermak.vaclav@firmaabc.cz</t>
  </si>
  <si>
    <t>?horak.tomas@firmaabc.cz</t>
  </si>
  <si>
    <t>havlickova.veronika@firmaabc.cz</t>
  </si>
  <si>
    <t>bulva.frantisek@firmaabc.cz</t>
  </si>
  <si>
    <t>svobodova.marketa@firmaabc.cz</t>
  </si>
  <si>
    <t>fusek.frantisek@firmaabc.cz</t>
  </si>
  <si>
    <t>hermanova.jana@firmaabc.cz</t>
  </si>
  <si>
    <t>svrcina.robert@firmaabc.cz</t>
  </si>
  <si>
    <t>cigankova.veronika@firmaabc.cz</t>
  </si>
  <si>
    <t>fojtikova.iveta@firmaabc.cz</t>
  </si>
  <si>
    <t>cihlarova.lubomira@firmaabc.cz</t>
  </si>
  <si>
    <t>zizkova.jarmila@firmaabc.cz</t>
  </si>
  <si>
    <t>bukackova.vlasta@firmaabc.cz</t>
  </si>
  <si>
    <t>svoboda.vaclav@firmaabc.cz</t>
  </si>
  <si>
    <t>vasikova.denisa@firmaabc.cz</t>
  </si>
  <si>
    <t>lavickova.stepanka@firmaabc.cz</t>
  </si>
  <si>
    <t>dudova.dana@firmaabc.cz</t>
  </si>
  <si>
    <t>prchalova.marie@firmaabc.cz</t>
  </si>
  <si>
    <t>bublova.marie@firmaabc.cz</t>
  </si>
  <si>
    <t>zichova.marie@firmaabc.cz</t>
  </si>
  <si>
    <t>blaha.lukas@firmaabc.cz</t>
  </si>
  <si>
    <t>navratilova.marie@firmaabc.cz</t>
  </si>
  <si>
    <t>vyskocilova.ivana@firmaabc.cz</t>
  </si>
  <si>
    <t>sulova.helena@firmaabc.cz</t>
  </si>
  <si>
    <t>malinska.dana@firmaabc.cz</t>
  </si>
  <si>
    <t>smejkal.milos@firmaabc.cz</t>
  </si>
  <si>
    <t>peterka.martin@firmaabc.cz</t>
  </si>
  <si>
    <t>prusa.waldemar@firmaabc.cz</t>
  </si>
  <si>
    <t>dolezal.jaroslav@firmaabc.cz</t>
  </si>
  <si>
    <t>svec.josef@firmaabc.cz</t>
  </si>
  <si>
    <t>novosadova.vera@firmaabc.cz</t>
  </si>
  <si>
    <t>slavik.josef@firmaabc.cz</t>
  </si>
  <si>
    <t>macha.jan@firmaabc.cz</t>
  </si>
  <si>
    <t>marouskova.jana@firmaabc.cz</t>
  </si>
  <si>
    <t>krizova.ivanka@firmaabc.cz</t>
  </si>
  <si>
    <t>?vesely.vladimir@firmaabc.cz</t>
  </si>
  <si>
    <t>bilkova.danuse@firmaabc.cz</t>
  </si>
  <si>
    <t>pytlikova.veronika@firmaabc.cz</t>
  </si>
  <si>
    <t>novak.miroslav@firmaabc.cz</t>
  </si>
  <si>
    <t>hajkova.veronika@firmaabc.cz</t>
  </si>
  <si>
    <t>brozikova.lada@firmaabc.cz</t>
  </si>
  <si>
    <t>rajtr.pavel@firmaabc.cz</t>
  </si>
  <si>
    <t>vojta.alex@firmaabc.cz</t>
  </si>
  <si>
    <t>novotny.pavel@firmaabc.cz</t>
  </si>
  <si>
    <t>malik.vaclav@firmaabc.cz</t>
  </si>
  <si>
    <t>kos.frantisek@firmaabc.cz</t>
  </si>
  <si>
    <t>svobodova.helena@firmaabc.cz</t>
  </si>
  <si>
    <t>urbankova.bozena@firmaabc.cz</t>
  </si>
  <si>
    <t>kockova.alena@firmaabc.cz</t>
  </si>
  <si>
    <t>polacek.petr@firmaabc.cz</t>
  </si>
  <si>
    <t>hurtova.sona@firmaabc.cz</t>
  </si>
  <si>
    <t>kroutil.tomas@firmaabc.cz</t>
  </si>
  <si>
    <t>balikova.jana@firmaabc.cz</t>
  </si>
  <si>
    <t>blazkova.jarmila@firmaabc.cz</t>
  </si>
  <si>
    <t>slama.jakub@firmaabc.cz</t>
  </si>
  <si>
    <t>sommer.vladimir@firmaabc.cz</t>
  </si>
  <si>
    <t>jurova.lenka@firmaabc.cz</t>
  </si>
  <si>
    <t>peterka.lubomir@firmaabc.cz</t>
  </si>
  <si>
    <t>lavickova.jitka@firmaabc.cz</t>
  </si>
  <si>
    <t>godla.jaroslav@firmaabc.cz</t>
  </si>
  <si>
    <t>odehnalova.jitka@firmaabc.cz</t>
  </si>
  <si>
    <t>cerny.karel@firmaabc.cz</t>
  </si>
  <si>
    <t>jordanova.milena@firmaabc.cz</t>
  </si>
  <si>
    <t>kalny.karel@firmaabc.cz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</si>
</sst>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 wrapText="1"/>
    </xf>
  </cellXfs>
  <cellStyles count="2">
    <cellStyle name="Hypertextový odkaz" xfId="1" builtinId="8"/>
    <cellStyle name="Normální" xfId="0" builtinId="0"/>
  </cellStyles>
  <dxfs count="12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DFBCE-D7CD-4F18-A4A0-097EB6B6DEDC}" name="Tabulka1" displayName="Tabulka1" ref="A3:L503" totalsRowShown="0" headerRowDxfId="11" dataDxfId="10">
  <tableColumns count="12">
    <tableColumn id="2" xr3:uid="{98AB917E-E250-4409-8C88-1CED6019F7BF}" name="Adresa" dataDxfId="9"/>
    <tableColumn id="3" xr3:uid="{8784B30C-5EAF-472B-BBAF-27CFD13F328E}" name="Jméno" dataDxfId="8"/>
    <tableColumn id="4" xr3:uid="{A0497649-DA05-4741-8A41-A67E5E915956}" name="Příjmení" dataDxfId="7"/>
    <tableColumn id="5" xr3:uid="{C3D5F759-C438-4C14-8A64-C60AE063756E}" name="Jmeno bez mezer">
      <calculatedColumnFormula>TRIM(Tabulka1[[#This Row],[Jméno]])</calculatedColumnFormula>
    </tableColumn>
    <tableColumn id="6" xr3:uid="{CF2270DF-282A-49A3-A9C8-40A3AB20BB8D}" name="příjmení bez mezer">
      <calculatedColumnFormula>TRIM(Tabulka1[[#This Row],[Příjmení]])</calculatedColumnFormula>
    </tableColumn>
    <tableColumn id="7" xr3:uid="{7E8D4D5B-14BB-4617-9E7C-4F936839C52A}" name="Ulice" dataDxfId="6">
      <calculatedColumnFormula>MID(Tabulka1[[#This Row],[Adresa]],1,SEARCH(",",Tabulka1[[#This Row],[Adresa]])-1)</calculatedColumnFormula>
    </tableColumn>
    <tableColumn id="8" xr3:uid="{A06D3C08-DAE5-48FF-9335-B33A3050C585}" name="Město" dataDxfId="5">
      <calculatedColumnFormula>RIGHT(Tabulka1[[#This Row],[Adresa]],LEN(Tabulka1[[#This Row],[Adresa]])-LEN(Tabulka1[[#This Row],[Ulice]])-1)</calculatedColumnFormula>
    </tableColumn>
    <tableColumn id="10" xr3:uid="{A19BF49D-B95A-4D11-952E-5CA0030B9382}" name="email" dataDxfId="4">
      <calculatedColumnFormula>_xlfn.CONCAT(LOWER(Tabulka1[[#This Row],[příjmení bez mezer]]),".",LOWER(Tabulka1[[#This Row],[Jmeno bez mezer]]),"@firmaabc.cz")</calculatedColumnFormula>
    </tableColumn>
    <tableColumn id="11" xr3:uid="{FCBD9A18-DC5C-4472-B652-6B03115B0558}" name="heslo" dataDxfId="3">
      <calculatedColumnFormula>_xlfn.CONCAT(LOWER(LEFT(Tabulka1[[#This Row],[příjmení bez mezer]],3)),UPPER(RIGHT(Tabulka1[[#This Row],[Jmeno bez mezer]],2)))</calculatedColumnFormula>
    </tableColumn>
    <tableColumn id="9" xr3:uid="{A2E81EDC-24DC-4801-AF7B-DCE3C2FAAAA0}" name="ulice2" dataDxfId="2"/>
    <tableColumn id="12" xr3:uid="{D801EC9B-FA84-43FA-A518-58203A975C5A}" name="město2" dataDxfId="1"/>
    <tableColumn id="1" xr3:uid="{29BB06D8-5888-4547-B4DC-AA520B573884}" name="email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ratochvilova.lucie@firmaabc.cz" TargetMode="External"/><Relationship Id="rId299" Type="http://schemas.openxmlformats.org/officeDocument/2006/relationships/hyperlink" Target="mailto:novak.jan@firmaabc.cz" TargetMode="External"/><Relationship Id="rId21" Type="http://schemas.openxmlformats.org/officeDocument/2006/relationships/hyperlink" Target="mailto:skopkova.iva@firmaabc.cz" TargetMode="External"/><Relationship Id="rId63" Type="http://schemas.openxmlformats.org/officeDocument/2006/relationships/hyperlink" Target="mailto:matejcek.jaroslav@firmaabc.cz" TargetMode="External"/><Relationship Id="rId159" Type="http://schemas.openxmlformats.org/officeDocument/2006/relationships/hyperlink" Target="mailto:hasmanova.drahomira@firmaabc.cz" TargetMode="External"/><Relationship Id="rId324" Type="http://schemas.openxmlformats.org/officeDocument/2006/relationships/hyperlink" Target="mailto:vladykova.jolana@firmaabc.cz" TargetMode="External"/><Relationship Id="rId366" Type="http://schemas.openxmlformats.org/officeDocument/2006/relationships/hyperlink" Target="mailto:bockova.dagmar@firmaabc.cz" TargetMode="External"/><Relationship Id="rId170" Type="http://schemas.openxmlformats.org/officeDocument/2006/relationships/hyperlink" Target="mailto:vavrikova.miroslava@firmaabc.cz" TargetMode="External"/><Relationship Id="rId226" Type="http://schemas.openxmlformats.org/officeDocument/2006/relationships/hyperlink" Target="mailto:tomes.ladislav@firmaabc.cz" TargetMode="External"/><Relationship Id="rId433" Type="http://schemas.openxmlformats.org/officeDocument/2006/relationships/hyperlink" Target="mailto:preckova.kateryna@firmaabc.cz" TargetMode="External"/><Relationship Id="rId268" Type="http://schemas.openxmlformats.org/officeDocument/2006/relationships/hyperlink" Target="mailto:andrle.zdenek@firmaabc.cz" TargetMode="External"/><Relationship Id="rId475" Type="http://schemas.openxmlformats.org/officeDocument/2006/relationships/hyperlink" Target="mailto:novak.miroslav@firmaabc.cz" TargetMode="External"/><Relationship Id="rId32" Type="http://schemas.openxmlformats.org/officeDocument/2006/relationships/hyperlink" Target="mailto:klingerova.karolina@firmaabc.cz" TargetMode="External"/><Relationship Id="rId74" Type="http://schemas.openxmlformats.org/officeDocument/2006/relationships/hyperlink" Target="mailto:polach.rudolf@firmaabc.cz" TargetMode="External"/><Relationship Id="rId128" Type="http://schemas.openxmlformats.org/officeDocument/2006/relationships/hyperlink" Target="mailto:tuma.stanislav@firmaabc.cz" TargetMode="External"/><Relationship Id="rId335" Type="http://schemas.openxmlformats.org/officeDocument/2006/relationships/hyperlink" Target="mailto:kafkova.helena@firmaabc.cz" TargetMode="External"/><Relationship Id="rId377" Type="http://schemas.openxmlformats.org/officeDocument/2006/relationships/hyperlink" Target="mailto:dvorakova.janina@firmaabc.cz" TargetMode="External"/><Relationship Id="rId500" Type="http://schemas.openxmlformats.org/officeDocument/2006/relationships/hyperlink" Target="mailto:kalny.karel@firmaabc.cz" TargetMode="External"/><Relationship Id="rId5" Type="http://schemas.openxmlformats.org/officeDocument/2006/relationships/hyperlink" Target="mailto:mikesova.kvetoslava@firmaabc.cz" TargetMode="External"/><Relationship Id="rId181" Type="http://schemas.openxmlformats.org/officeDocument/2006/relationships/hyperlink" Target="mailto:pisarikova.jana@firmaabc.cz" TargetMode="External"/><Relationship Id="rId237" Type="http://schemas.openxmlformats.org/officeDocument/2006/relationships/hyperlink" Target="mailto:puncocharova.jana@firmaabc.cz" TargetMode="External"/><Relationship Id="rId402" Type="http://schemas.openxmlformats.org/officeDocument/2006/relationships/hyperlink" Target="mailto:andrlikova.marie@firmaabc.cz" TargetMode="External"/><Relationship Id="rId279" Type="http://schemas.openxmlformats.org/officeDocument/2006/relationships/hyperlink" Target="mailto:?horak.lukas@firmaabc.cz" TargetMode="External"/><Relationship Id="rId444" Type="http://schemas.openxmlformats.org/officeDocument/2006/relationships/hyperlink" Target="mailto:svrcina.robert@firmaabc.cz" TargetMode="External"/><Relationship Id="rId486" Type="http://schemas.openxmlformats.org/officeDocument/2006/relationships/hyperlink" Target="mailto:polacek.petr@firmaabc.cz" TargetMode="External"/><Relationship Id="rId43" Type="http://schemas.openxmlformats.org/officeDocument/2006/relationships/hyperlink" Target="mailto:bartos.vladislav@firmaabc.cz" TargetMode="External"/><Relationship Id="rId139" Type="http://schemas.openxmlformats.org/officeDocument/2006/relationships/hyperlink" Target="mailto:hajkova.danuse@firmaabc.cz" TargetMode="External"/><Relationship Id="rId290" Type="http://schemas.openxmlformats.org/officeDocument/2006/relationships/hyperlink" Target="mailto:vaneckova.radka@firmaabc.cz" TargetMode="External"/><Relationship Id="rId304" Type="http://schemas.openxmlformats.org/officeDocument/2006/relationships/hyperlink" Target="mailto:forejtova.bozena@firmaabc.cz" TargetMode="External"/><Relationship Id="rId346" Type="http://schemas.openxmlformats.org/officeDocument/2006/relationships/hyperlink" Target="mailto:hajek.marek@firmaabc.cz" TargetMode="External"/><Relationship Id="rId388" Type="http://schemas.openxmlformats.org/officeDocument/2006/relationships/hyperlink" Target="mailto:silhankova.janina@firmaabc.cz" TargetMode="External"/><Relationship Id="rId85" Type="http://schemas.openxmlformats.org/officeDocument/2006/relationships/hyperlink" Target="mailto:vala.zdenek@firmaabc.cz" TargetMode="External"/><Relationship Id="rId150" Type="http://schemas.openxmlformats.org/officeDocument/2006/relationships/hyperlink" Target="mailto:tomecek.vladimir@firmaabc.cz" TargetMode="External"/><Relationship Id="rId192" Type="http://schemas.openxmlformats.org/officeDocument/2006/relationships/hyperlink" Target="mailto:hlavata.marie@firmaabc.cz" TargetMode="External"/><Relationship Id="rId206" Type="http://schemas.openxmlformats.org/officeDocument/2006/relationships/hyperlink" Target="mailto:?prochazka.robert@firmaabc.cz" TargetMode="External"/><Relationship Id="rId413" Type="http://schemas.openxmlformats.org/officeDocument/2006/relationships/hyperlink" Target="mailto:simanova.aneta@firmaabc.cz" TargetMode="External"/><Relationship Id="rId248" Type="http://schemas.openxmlformats.org/officeDocument/2006/relationships/hyperlink" Target="mailto:kolarova.michaela@firmaabc.cz" TargetMode="External"/><Relationship Id="rId455" Type="http://schemas.openxmlformats.org/officeDocument/2006/relationships/hyperlink" Target="mailto:bublova.marie@firmaabc.cz" TargetMode="External"/><Relationship Id="rId497" Type="http://schemas.openxmlformats.org/officeDocument/2006/relationships/hyperlink" Target="mailto:odehnalova.jitka@firmaabc.cz" TargetMode="External"/><Relationship Id="rId12" Type="http://schemas.openxmlformats.org/officeDocument/2006/relationships/hyperlink" Target="mailto:vymazalova.marie@firmaabc.cz" TargetMode="External"/><Relationship Id="rId108" Type="http://schemas.openxmlformats.org/officeDocument/2006/relationships/hyperlink" Target="mailto:bartos.jiri@firmaabc.cz" TargetMode="External"/><Relationship Id="rId315" Type="http://schemas.openxmlformats.org/officeDocument/2006/relationships/hyperlink" Target="mailto:zelena.katerina@firmaabc.cz" TargetMode="External"/><Relationship Id="rId357" Type="http://schemas.openxmlformats.org/officeDocument/2006/relationships/hyperlink" Target="mailto:vojtkova.vera@firmaabc.cz" TargetMode="External"/><Relationship Id="rId54" Type="http://schemas.openxmlformats.org/officeDocument/2006/relationships/hyperlink" Target="mailto:svedova.iveta@firmaabc.cz" TargetMode="External"/><Relationship Id="rId96" Type="http://schemas.openxmlformats.org/officeDocument/2006/relationships/hyperlink" Target="mailto:koznar.martin@firmaabc.cz" TargetMode="External"/><Relationship Id="rId161" Type="http://schemas.openxmlformats.org/officeDocument/2006/relationships/hyperlink" Target="mailto:kral.pavel@firmaabc.cz" TargetMode="External"/><Relationship Id="rId217" Type="http://schemas.openxmlformats.org/officeDocument/2006/relationships/hyperlink" Target="mailto:prochazkova.vanda@firmaabc.cz" TargetMode="External"/><Relationship Id="rId399" Type="http://schemas.openxmlformats.org/officeDocument/2006/relationships/hyperlink" Target="mailto:sikora.zdenek@firmaabc.cz" TargetMode="External"/><Relationship Id="rId259" Type="http://schemas.openxmlformats.org/officeDocument/2006/relationships/hyperlink" Target="mailto:pinkasova.nikola@firmaabc.cz" TargetMode="External"/><Relationship Id="rId424" Type="http://schemas.openxmlformats.org/officeDocument/2006/relationships/hyperlink" Target="mailto:mares.ales@firmaabc.cz" TargetMode="External"/><Relationship Id="rId466" Type="http://schemas.openxmlformats.org/officeDocument/2006/relationships/hyperlink" Target="mailto:svec.josef@firmaabc.cz" TargetMode="External"/><Relationship Id="rId23" Type="http://schemas.openxmlformats.org/officeDocument/2006/relationships/hyperlink" Target="mailto:janus.daniel@firmaabc.cz" TargetMode="External"/><Relationship Id="rId119" Type="http://schemas.openxmlformats.org/officeDocument/2006/relationships/hyperlink" Target="mailto:krejci.jaroslava@firmaabc.cz" TargetMode="External"/><Relationship Id="rId270" Type="http://schemas.openxmlformats.org/officeDocument/2006/relationships/hyperlink" Target="mailto:vymazal.pavel@firmaabc.cz" TargetMode="External"/><Relationship Id="rId326" Type="http://schemas.openxmlformats.org/officeDocument/2006/relationships/hyperlink" Target="mailto:flidrova.pavlina@firmaabc.cz" TargetMode="External"/><Relationship Id="rId65" Type="http://schemas.openxmlformats.org/officeDocument/2006/relationships/hyperlink" Target="mailto:prusova.hana@firmaabc.cz" TargetMode="External"/><Relationship Id="rId130" Type="http://schemas.openxmlformats.org/officeDocument/2006/relationships/hyperlink" Target="mailto:hlavata.pavlina@firmaabc.cz" TargetMode="External"/><Relationship Id="rId368" Type="http://schemas.openxmlformats.org/officeDocument/2006/relationships/hyperlink" Target="mailto:markova.veronika@firmaabc.cz" TargetMode="External"/><Relationship Id="rId172" Type="http://schemas.openxmlformats.org/officeDocument/2006/relationships/hyperlink" Target="mailto:janecek.milan@firmaabc.cz" TargetMode="External"/><Relationship Id="rId228" Type="http://schemas.openxmlformats.org/officeDocument/2006/relationships/hyperlink" Target="mailto:skrivanek.jaroslav@firmaabc.cz" TargetMode="External"/><Relationship Id="rId435" Type="http://schemas.openxmlformats.org/officeDocument/2006/relationships/hyperlink" Target="mailto:zaveska.ludmila@firmaabc.cz" TargetMode="External"/><Relationship Id="rId477" Type="http://schemas.openxmlformats.org/officeDocument/2006/relationships/hyperlink" Target="mailto:brozikova.lada@firmaabc.cz" TargetMode="External"/><Relationship Id="rId281" Type="http://schemas.openxmlformats.org/officeDocument/2006/relationships/hyperlink" Target="mailto:halfarova.eva@firmaabc.cz" TargetMode="External"/><Relationship Id="rId337" Type="http://schemas.openxmlformats.org/officeDocument/2006/relationships/hyperlink" Target="mailto:lastuvka.petr@firmaabc.cz" TargetMode="External"/><Relationship Id="rId502" Type="http://schemas.openxmlformats.org/officeDocument/2006/relationships/table" Target="../tables/table1.xml"/><Relationship Id="rId34" Type="http://schemas.openxmlformats.org/officeDocument/2006/relationships/hyperlink" Target="mailto:vasickova.alena@firmaabc.cz" TargetMode="External"/><Relationship Id="rId76" Type="http://schemas.openxmlformats.org/officeDocument/2006/relationships/hyperlink" Target="mailto:?kucera.petr@firmaabc.cz" TargetMode="External"/><Relationship Id="rId141" Type="http://schemas.openxmlformats.org/officeDocument/2006/relationships/hyperlink" Target="mailto:lukesova.gertruda@firmaabc.cz" TargetMode="External"/><Relationship Id="rId379" Type="http://schemas.openxmlformats.org/officeDocument/2006/relationships/hyperlink" Target="mailto:zika.michael@firmaabc.cz" TargetMode="External"/><Relationship Id="rId7" Type="http://schemas.openxmlformats.org/officeDocument/2006/relationships/hyperlink" Target="mailto:zelnickova.jana@firmaabc.cz" TargetMode="External"/><Relationship Id="rId183" Type="http://schemas.openxmlformats.org/officeDocument/2006/relationships/hyperlink" Target="mailto:rusek.libor@firmaabc.cz" TargetMode="External"/><Relationship Id="rId239" Type="http://schemas.openxmlformats.org/officeDocument/2006/relationships/hyperlink" Target="mailto:karasova.ivana@firmaabc.cz" TargetMode="External"/><Relationship Id="rId390" Type="http://schemas.openxmlformats.org/officeDocument/2006/relationships/hyperlink" Target="mailto:popelka.jindrich@firmaabc.cz" TargetMode="External"/><Relationship Id="rId404" Type="http://schemas.openxmlformats.org/officeDocument/2006/relationships/hyperlink" Target="mailto:lindner.ludek@firmaabc.cz" TargetMode="External"/><Relationship Id="rId446" Type="http://schemas.openxmlformats.org/officeDocument/2006/relationships/hyperlink" Target="mailto:fojtikova.iveta@firmaabc.cz" TargetMode="External"/><Relationship Id="rId250" Type="http://schemas.openxmlformats.org/officeDocument/2006/relationships/hyperlink" Target="mailto:sibor.jan@firmaabc.cz" TargetMode="External"/><Relationship Id="rId292" Type="http://schemas.openxmlformats.org/officeDocument/2006/relationships/hyperlink" Target="mailto:prochazka.bohuslav@firmaabc.cz" TargetMode="External"/><Relationship Id="rId306" Type="http://schemas.openxmlformats.org/officeDocument/2006/relationships/hyperlink" Target="mailto:zetkova.maria@firmaabc.cz" TargetMode="External"/><Relationship Id="rId488" Type="http://schemas.openxmlformats.org/officeDocument/2006/relationships/hyperlink" Target="mailto:kroutil.tomas@firmaabc.cz" TargetMode="External"/><Relationship Id="rId45" Type="http://schemas.openxmlformats.org/officeDocument/2006/relationships/hyperlink" Target="mailto:miksovsky.ondrej@firmaabc.cz" TargetMode="External"/><Relationship Id="rId87" Type="http://schemas.openxmlformats.org/officeDocument/2006/relationships/hyperlink" Target="mailto:tuckova.miroslava@firmaabc.cz" TargetMode="External"/><Relationship Id="rId110" Type="http://schemas.openxmlformats.org/officeDocument/2006/relationships/hyperlink" Target="mailto:salova.margit@firmaabc.cz" TargetMode="External"/><Relationship Id="rId348" Type="http://schemas.openxmlformats.org/officeDocument/2006/relationships/hyperlink" Target="mailto:hofman.stanislav@firmaabc.cz" TargetMode="External"/><Relationship Id="rId152" Type="http://schemas.openxmlformats.org/officeDocument/2006/relationships/hyperlink" Target="mailto:landova.anna@firmaabc.cz" TargetMode="External"/><Relationship Id="rId194" Type="http://schemas.openxmlformats.org/officeDocument/2006/relationships/hyperlink" Target="mailto:prochazkova.romana@firmaabc.cz" TargetMode="External"/><Relationship Id="rId208" Type="http://schemas.openxmlformats.org/officeDocument/2006/relationships/hyperlink" Target="mailto:broz.ivan@firmaabc.cz" TargetMode="External"/><Relationship Id="rId415" Type="http://schemas.openxmlformats.org/officeDocument/2006/relationships/hyperlink" Target="mailto:kalivodova.katerina@firmaabc.cz" TargetMode="External"/><Relationship Id="rId457" Type="http://schemas.openxmlformats.org/officeDocument/2006/relationships/hyperlink" Target="mailto:blaha.lukas@firmaabc.cz" TargetMode="External"/><Relationship Id="rId261" Type="http://schemas.openxmlformats.org/officeDocument/2006/relationships/hyperlink" Target="mailto:radil.michal@firmaabc.cz" TargetMode="External"/><Relationship Id="rId499" Type="http://schemas.openxmlformats.org/officeDocument/2006/relationships/hyperlink" Target="mailto:jordanova.milena@firmaabc.cz" TargetMode="External"/><Relationship Id="rId14" Type="http://schemas.openxmlformats.org/officeDocument/2006/relationships/hyperlink" Target="mailto:kupska.marie@firmaabc.cz" TargetMode="External"/><Relationship Id="rId56" Type="http://schemas.openxmlformats.org/officeDocument/2006/relationships/hyperlink" Target="mailto:novak.frantisek@firmaabc.cz" TargetMode="External"/><Relationship Id="rId317" Type="http://schemas.openxmlformats.org/officeDocument/2006/relationships/hyperlink" Target="mailto:prusova.radka@firmaabc.cz" TargetMode="External"/><Relationship Id="rId359" Type="http://schemas.openxmlformats.org/officeDocument/2006/relationships/hyperlink" Target="mailto:meduna.martin@firmaabc.cz" TargetMode="External"/><Relationship Id="rId98" Type="http://schemas.openxmlformats.org/officeDocument/2006/relationships/hyperlink" Target="mailto:kockova.marie@firmaabc.cz" TargetMode="External"/><Relationship Id="rId121" Type="http://schemas.openxmlformats.org/officeDocument/2006/relationships/hyperlink" Target="mailto:borovickova.helena@firmaabc.cz" TargetMode="External"/><Relationship Id="rId163" Type="http://schemas.openxmlformats.org/officeDocument/2006/relationships/hyperlink" Target="mailto:beran.jaroslav@firmaabc.cz" TargetMode="External"/><Relationship Id="rId219" Type="http://schemas.openxmlformats.org/officeDocument/2006/relationships/hyperlink" Target="mailto:bohata.karel@firmaabc.cz" TargetMode="External"/><Relationship Id="rId370" Type="http://schemas.openxmlformats.org/officeDocument/2006/relationships/hyperlink" Target="mailto:vicherkova.hana@firmaabc.cz" TargetMode="External"/><Relationship Id="rId426" Type="http://schemas.openxmlformats.org/officeDocument/2006/relationships/hyperlink" Target="mailto:horejsi.jiri@firmaabc.cz" TargetMode="External"/><Relationship Id="rId230" Type="http://schemas.openxmlformats.org/officeDocument/2006/relationships/hyperlink" Target="mailto:janouskova.hana@firmaabc.cz" TargetMode="External"/><Relationship Id="rId468" Type="http://schemas.openxmlformats.org/officeDocument/2006/relationships/hyperlink" Target="mailto:slavik.josef@firmaabc.cz" TargetMode="External"/><Relationship Id="rId25" Type="http://schemas.openxmlformats.org/officeDocument/2006/relationships/hyperlink" Target="mailto:uvira.miroslav@firmaabc.cz" TargetMode="External"/><Relationship Id="rId67" Type="http://schemas.openxmlformats.org/officeDocument/2006/relationships/hyperlink" Target="mailto:moravcova.jana@firmaabc.cz" TargetMode="External"/><Relationship Id="rId272" Type="http://schemas.openxmlformats.org/officeDocument/2006/relationships/hyperlink" Target="mailto:skoda.jaroslav@firmaabc.cz" TargetMode="External"/><Relationship Id="rId328" Type="http://schemas.openxmlformats.org/officeDocument/2006/relationships/hyperlink" Target="mailto:vesela.marie@firmaabc.cz" TargetMode="External"/><Relationship Id="rId132" Type="http://schemas.openxmlformats.org/officeDocument/2006/relationships/hyperlink" Target="mailto:jaros.jan@firmaabc.cz" TargetMode="External"/><Relationship Id="rId174" Type="http://schemas.openxmlformats.org/officeDocument/2006/relationships/hyperlink" Target="mailto:richtrova.danuse@firmaabc.cz" TargetMode="External"/><Relationship Id="rId381" Type="http://schemas.openxmlformats.org/officeDocument/2006/relationships/hyperlink" Target="mailto:bolek.josef@firmaabc.cz" TargetMode="External"/><Relationship Id="rId241" Type="http://schemas.openxmlformats.org/officeDocument/2006/relationships/hyperlink" Target="mailto:schaferova.ivana@firmaabc.cz" TargetMode="External"/><Relationship Id="rId437" Type="http://schemas.openxmlformats.org/officeDocument/2006/relationships/hyperlink" Target="mailto:cermak.vaclav@firmaabc.cz" TargetMode="External"/><Relationship Id="rId479" Type="http://schemas.openxmlformats.org/officeDocument/2006/relationships/hyperlink" Target="mailto:vojta.alex@firmaabc.cz" TargetMode="External"/><Relationship Id="rId36" Type="http://schemas.openxmlformats.org/officeDocument/2006/relationships/hyperlink" Target="mailto:sedlak.oldrich@firmaabc.cz" TargetMode="External"/><Relationship Id="rId283" Type="http://schemas.openxmlformats.org/officeDocument/2006/relationships/hyperlink" Target="mailto:petras.david@firmaabc.cz" TargetMode="External"/><Relationship Id="rId339" Type="http://schemas.openxmlformats.org/officeDocument/2006/relationships/hyperlink" Target="mailto:dockal.lukas@firmaabc.cz" TargetMode="External"/><Relationship Id="rId490" Type="http://schemas.openxmlformats.org/officeDocument/2006/relationships/hyperlink" Target="mailto:blazkova.jarmila@firmaabc.cz" TargetMode="External"/><Relationship Id="rId78" Type="http://schemas.openxmlformats.org/officeDocument/2006/relationships/hyperlink" Target="mailto:ruzickova.jaroslava@firmaabc.cz" TargetMode="External"/><Relationship Id="rId101" Type="http://schemas.openxmlformats.org/officeDocument/2006/relationships/hyperlink" Target="mailto:dohnal.jaroslav@firmaabc.cz" TargetMode="External"/><Relationship Id="rId143" Type="http://schemas.openxmlformats.org/officeDocument/2006/relationships/hyperlink" Target="mailto:jarkovsky.miloslav@firmaabc.cz" TargetMode="External"/><Relationship Id="rId185" Type="http://schemas.openxmlformats.org/officeDocument/2006/relationships/hyperlink" Target="mailto:placek.martin@firmaabc.cz" TargetMode="External"/><Relationship Id="rId350" Type="http://schemas.openxmlformats.org/officeDocument/2006/relationships/hyperlink" Target="mailto:olah.zdenek@firmaabc.cz" TargetMode="External"/><Relationship Id="rId406" Type="http://schemas.openxmlformats.org/officeDocument/2006/relationships/hyperlink" Target="mailto:maixner.petr@firmaabc.cz" TargetMode="External"/><Relationship Id="rId9" Type="http://schemas.openxmlformats.org/officeDocument/2006/relationships/hyperlink" Target="mailto:haklova.karolina@firmaabc.cz" TargetMode="External"/><Relationship Id="rId210" Type="http://schemas.openxmlformats.org/officeDocument/2006/relationships/hyperlink" Target="mailto:spevacek.ludek@firmaabc.cz" TargetMode="External"/><Relationship Id="rId392" Type="http://schemas.openxmlformats.org/officeDocument/2006/relationships/hyperlink" Target="mailto:kalikova.karolina@firmaabc.cz" TargetMode="External"/><Relationship Id="rId448" Type="http://schemas.openxmlformats.org/officeDocument/2006/relationships/hyperlink" Target="mailto:zizkova.jarmila@firmaabc.cz" TargetMode="External"/><Relationship Id="rId252" Type="http://schemas.openxmlformats.org/officeDocument/2006/relationships/hyperlink" Target="mailto:kutalek.david@firmaabc.cz" TargetMode="External"/><Relationship Id="rId294" Type="http://schemas.openxmlformats.org/officeDocument/2006/relationships/hyperlink" Target="mailto:repa.vlastislav@firmaabc.cz" TargetMode="External"/><Relationship Id="rId308" Type="http://schemas.openxmlformats.org/officeDocument/2006/relationships/hyperlink" Target="mailto:zatloukal.jan@firmaabc.cz" TargetMode="External"/><Relationship Id="rId47" Type="http://schemas.openxmlformats.org/officeDocument/2006/relationships/hyperlink" Target="mailto:kubatova.katerina@firmaabc.cz" TargetMode="External"/><Relationship Id="rId89" Type="http://schemas.openxmlformats.org/officeDocument/2006/relationships/hyperlink" Target="mailto:ostadal.roman@firmaabc.cz" TargetMode="External"/><Relationship Id="rId112" Type="http://schemas.openxmlformats.org/officeDocument/2006/relationships/hyperlink" Target="mailto:kratochvil.pavel@firmaabc.cz" TargetMode="External"/><Relationship Id="rId154" Type="http://schemas.openxmlformats.org/officeDocument/2006/relationships/hyperlink" Target="mailto:nguyen.zdenek@firmaabc.cz" TargetMode="External"/><Relationship Id="rId361" Type="http://schemas.openxmlformats.org/officeDocument/2006/relationships/hyperlink" Target="mailto:machova.katerina@firmaabc.cz" TargetMode="External"/><Relationship Id="rId196" Type="http://schemas.openxmlformats.org/officeDocument/2006/relationships/hyperlink" Target="mailto:horak.petr@firmaabc.cz" TargetMode="External"/><Relationship Id="rId417" Type="http://schemas.openxmlformats.org/officeDocument/2006/relationships/hyperlink" Target="mailto:sedivy.ondrej@firmaabc.cz" TargetMode="External"/><Relationship Id="rId459" Type="http://schemas.openxmlformats.org/officeDocument/2006/relationships/hyperlink" Target="mailto:vyskocilova.ivana@firmaabc.cz" TargetMode="External"/><Relationship Id="rId16" Type="http://schemas.openxmlformats.org/officeDocument/2006/relationships/hyperlink" Target="mailto:stanek.miroslav@firmaabc.cz" TargetMode="External"/><Relationship Id="rId221" Type="http://schemas.openxmlformats.org/officeDocument/2006/relationships/hyperlink" Target="mailto:moravec.josef@firmaabc.cz" TargetMode="External"/><Relationship Id="rId263" Type="http://schemas.openxmlformats.org/officeDocument/2006/relationships/hyperlink" Target="mailto:kocourek.libor@firmaabc.cz" TargetMode="External"/><Relationship Id="rId319" Type="http://schemas.openxmlformats.org/officeDocument/2006/relationships/hyperlink" Target="mailto:zavadil.petr@firmaabc.cz" TargetMode="External"/><Relationship Id="rId470" Type="http://schemas.openxmlformats.org/officeDocument/2006/relationships/hyperlink" Target="mailto:marouskova.jana@firmaabc.cz" TargetMode="External"/><Relationship Id="rId58" Type="http://schemas.openxmlformats.org/officeDocument/2006/relationships/hyperlink" Target="mailto:horacek.vladimir@firmaabc.cz" TargetMode="External"/><Relationship Id="rId123" Type="http://schemas.openxmlformats.org/officeDocument/2006/relationships/hyperlink" Target="mailto:hegr.milan@firmaabc.cz" TargetMode="External"/><Relationship Id="rId330" Type="http://schemas.openxmlformats.org/officeDocument/2006/relationships/hyperlink" Target="mailto:necas.frantisek@firmaabc.cz" TargetMode="External"/><Relationship Id="rId165" Type="http://schemas.openxmlformats.org/officeDocument/2006/relationships/hyperlink" Target="mailto:svec.pavel@firmaabc.cz" TargetMode="External"/><Relationship Id="rId372" Type="http://schemas.openxmlformats.org/officeDocument/2006/relationships/hyperlink" Target="mailto:conkova.ilona@firmaabc.cz" TargetMode="External"/><Relationship Id="rId428" Type="http://schemas.openxmlformats.org/officeDocument/2006/relationships/hyperlink" Target="mailto:hendrych.jakub@firmaabc.cz" TargetMode="External"/><Relationship Id="rId232" Type="http://schemas.openxmlformats.org/officeDocument/2006/relationships/hyperlink" Target="mailto:kyselova.marie@firmaabc.cz" TargetMode="External"/><Relationship Id="rId274" Type="http://schemas.openxmlformats.org/officeDocument/2006/relationships/hyperlink" Target="mailto:doubravova.eva@firmaabc.cz" TargetMode="External"/><Relationship Id="rId481" Type="http://schemas.openxmlformats.org/officeDocument/2006/relationships/hyperlink" Target="mailto:malik.vaclav@firmaabc.cz" TargetMode="External"/><Relationship Id="rId27" Type="http://schemas.openxmlformats.org/officeDocument/2006/relationships/hyperlink" Target="mailto:simunek.martin@firmaabc.cz" TargetMode="External"/><Relationship Id="rId69" Type="http://schemas.openxmlformats.org/officeDocument/2006/relationships/hyperlink" Target="mailto:miklikova.hana@firmaabc.cz" TargetMode="External"/><Relationship Id="rId134" Type="http://schemas.openxmlformats.org/officeDocument/2006/relationships/hyperlink" Target="mailto:?cerny.jaroslav@firmaabc.cz" TargetMode="External"/><Relationship Id="rId80" Type="http://schemas.openxmlformats.org/officeDocument/2006/relationships/hyperlink" Target="mailto:cahlikova.marie@firmaabc.cz" TargetMode="External"/><Relationship Id="rId176" Type="http://schemas.openxmlformats.org/officeDocument/2006/relationships/hyperlink" Target="mailto:kulhanek.ludek@firmaabc.cz" TargetMode="External"/><Relationship Id="rId341" Type="http://schemas.openxmlformats.org/officeDocument/2006/relationships/hyperlink" Target="mailto:olivova.jana@firmaabc.cz" TargetMode="External"/><Relationship Id="rId383" Type="http://schemas.openxmlformats.org/officeDocument/2006/relationships/hyperlink" Target="mailto:homolka.josef@firmaabc.cz" TargetMode="External"/><Relationship Id="rId439" Type="http://schemas.openxmlformats.org/officeDocument/2006/relationships/hyperlink" Target="mailto:havlickova.veronika@firmaabc.cz" TargetMode="External"/><Relationship Id="rId201" Type="http://schemas.openxmlformats.org/officeDocument/2006/relationships/hyperlink" Target="mailto:kocourkova.miroslava@firmaabc.cz" TargetMode="External"/><Relationship Id="rId243" Type="http://schemas.openxmlformats.org/officeDocument/2006/relationships/hyperlink" Target="mailto:faltus.boleslav@firmaabc.cz" TargetMode="External"/><Relationship Id="rId285" Type="http://schemas.openxmlformats.org/officeDocument/2006/relationships/hyperlink" Target="mailto:poul.boleslav@firmaabc.cz" TargetMode="External"/><Relationship Id="rId450" Type="http://schemas.openxmlformats.org/officeDocument/2006/relationships/hyperlink" Target="mailto:svoboda.vaclav@firmaabc.cz" TargetMode="External"/><Relationship Id="rId38" Type="http://schemas.openxmlformats.org/officeDocument/2006/relationships/hyperlink" Target="mailto:dankova.radomila@firmaabc.cz" TargetMode="External"/><Relationship Id="rId103" Type="http://schemas.openxmlformats.org/officeDocument/2006/relationships/hyperlink" Target="mailto:gorol.josef@firmaabc.cz" TargetMode="External"/><Relationship Id="rId310" Type="http://schemas.openxmlformats.org/officeDocument/2006/relationships/hyperlink" Target="mailto:beneda.antonin@firmaabc.cz" TargetMode="External"/><Relationship Id="rId492" Type="http://schemas.openxmlformats.org/officeDocument/2006/relationships/hyperlink" Target="mailto:sommer.vladimir@firmaabc.cz" TargetMode="External"/><Relationship Id="rId91" Type="http://schemas.openxmlformats.org/officeDocument/2006/relationships/hyperlink" Target="mailto:huml.miloslav@firmaabc.cz" TargetMode="External"/><Relationship Id="rId145" Type="http://schemas.openxmlformats.org/officeDocument/2006/relationships/hyperlink" Target="mailto:rozek.ondrej@firmaabc.cz" TargetMode="External"/><Relationship Id="rId187" Type="http://schemas.openxmlformats.org/officeDocument/2006/relationships/hyperlink" Target="mailto:kucera.miroslav@firmaabc.cz" TargetMode="External"/><Relationship Id="rId352" Type="http://schemas.openxmlformats.org/officeDocument/2006/relationships/hyperlink" Target="mailto:simon.milan@firmaabc.cz" TargetMode="External"/><Relationship Id="rId394" Type="http://schemas.openxmlformats.org/officeDocument/2006/relationships/hyperlink" Target="mailto:pazderova.sabina@firmaabc.cz" TargetMode="External"/><Relationship Id="rId408" Type="http://schemas.openxmlformats.org/officeDocument/2006/relationships/hyperlink" Target="mailto:sestak.jiri@firmaabc.cz" TargetMode="External"/><Relationship Id="rId212" Type="http://schemas.openxmlformats.org/officeDocument/2006/relationships/hyperlink" Target="mailto:kamenikova.vera@firmaabc.cz" TargetMode="External"/><Relationship Id="rId254" Type="http://schemas.openxmlformats.org/officeDocument/2006/relationships/hyperlink" Target="mailto:?svoboda.miroslav@firmaabc.cz" TargetMode="External"/><Relationship Id="rId49" Type="http://schemas.openxmlformats.org/officeDocument/2006/relationships/hyperlink" Target="mailto:chudobova.hana@firmaabc.cz" TargetMode="External"/><Relationship Id="rId114" Type="http://schemas.openxmlformats.org/officeDocument/2006/relationships/hyperlink" Target="mailto:dolezalova.lenka@firmaabc.cz" TargetMode="External"/><Relationship Id="rId296" Type="http://schemas.openxmlformats.org/officeDocument/2006/relationships/hyperlink" Target="mailto:machacek.roman@firmaabc.cz" TargetMode="External"/><Relationship Id="rId461" Type="http://schemas.openxmlformats.org/officeDocument/2006/relationships/hyperlink" Target="mailto:malinska.dana@firmaabc.cz" TargetMode="External"/><Relationship Id="rId60" Type="http://schemas.openxmlformats.org/officeDocument/2006/relationships/hyperlink" Target="mailto:plachy.michal@firmaabc.cz" TargetMode="External"/><Relationship Id="rId156" Type="http://schemas.openxmlformats.org/officeDocument/2006/relationships/hyperlink" Target="mailto:radova.jirina@firmaabc.cz" TargetMode="External"/><Relationship Id="rId198" Type="http://schemas.openxmlformats.org/officeDocument/2006/relationships/hyperlink" Target="mailto:linhart.pavel@firmaabc.cz" TargetMode="External"/><Relationship Id="rId321" Type="http://schemas.openxmlformats.org/officeDocument/2006/relationships/hyperlink" Target="mailto:karafiatova.vlastimila@firmaabc.cz" TargetMode="External"/><Relationship Id="rId363" Type="http://schemas.openxmlformats.org/officeDocument/2006/relationships/hyperlink" Target="mailto:indrakova.jaroslava@firmaabc.cz" TargetMode="External"/><Relationship Id="rId419" Type="http://schemas.openxmlformats.org/officeDocument/2006/relationships/hyperlink" Target="mailto:macoun.tomas@firmaabc.cz" TargetMode="External"/><Relationship Id="rId223" Type="http://schemas.openxmlformats.org/officeDocument/2006/relationships/hyperlink" Target="mailto:honsova.irena@firmaabc.cz" TargetMode="External"/><Relationship Id="rId430" Type="http://schemas.openxmlformats.org/officeDocument/2006/relationships/hyperlink" Target="mailto:petera.miroslav@firmaabc.cz" TargetMode="External"/><Relationship Id="rId18" Type="http://schemas.openxmlformats.org/officeDocument/2006/relationships/hyperlink" Target="mailto:fiserova.natalie@firmaabc.cz" TargetMode="External"/><Relationship Id="rId265" Type="http://schemas.openxmlformats.org/officeDocument/2006/relationships/hyperlink" Target="mailto:horackova.karolina@firmaabc.cz" TargetMode="External"/><Relationship Id="rId472" Type="http://schemas.openxmlformats.org/officeDocument/2006/relationships/hyperlink" Target="mailto:?vesely.vladimir@firmaabc.cz" TargetMode="External"/><Relationship Id="rId125" Type="http://schemas.openxmlformats.org/officeDocument/2006/relationships/hyperlink" Target="mailto:kureckova.klaudie@firmaabc.cz" TargetMode="External"/><Relationship Id="rId167" Type="http://schemas.openxmlformats.org/officeDocument/2006/relationships/hyperlink" Target="mailto:berousek.petr@firmaabc.cz" TargetMode="External"/><Relationship Id="rId332" Type="http://schemas.openxmlformats.org/officeDocument/2006/relationships/hyperlink" Target="mailto:souckova.marcela@firmaabc.cz" TargetMode="External"/><Relationship Id="rId374" Type="http://schemas.openxmlformats.org/officeDocument/2006/relationships/hyperlink" Target="mailto:glaser.vincenc@firmaabc.cz" TargetMode="External"/><Relationship Id="rId71" Type="http://schemas.openxmlformats.org/officeDocument/2006/relationships/hyperlink" Target="mailto:trcka.lukas@firmaabc.cz" TargetMode="External"/><Relationship Id="rId234" Type="http://schemas.openxmlformats.org/officeDocument/2006/relationships/hyperlink" Target="mailto:zivna.anezka@firmaabc.cz" TargetMode="External"/><Relationship Id="rId2" Type="http://schemas.openxmlformats.org/officeDocument/2006/relationships/hyperlink" Target="mailto:capkova.martina@firmaabc.cz" TargetMode="External"/><Relationship Id="rId29" Type="http://schemas.openxmlformats.org/officeDocument/2006/relationships/hyperlink" Target="mailto:kubistova.vera@firmaabc.cz" TargetMode="External"/><Relationship Id="rId276" Type="http://schemas.openxmlformats.org/officeDocument/2006/relationships/hyperlink" Target="mailto:rysavy.lukas@firmaabc.cz" TargetMode="External"/><Relationship Id="rId441" Type="http://schemas.openxmlformats.org/officeDocument/2006/relationships/hyperlink" Target="mailto:svobodova.marketa@firmaabc.cz" TargetMode="External"/><Relationship Id="rId483" Type="http://schemas.openxmlformats.org/officeDocument/2006/relationships/hyperlink" Target="mailto:svobodova.helena@firmaabc.cz" TargetMode="External"/><Relationship Id="rId40" Type="http://schemas.openxmlformats.org/officeDocument/2006/relationships/hyperlink" Target="mailto:skaloud.karel@firmaabc.cz" TargetMode="External"/><Relationship Id="rId136" Type="http://schemas.openxmlformats.org/officeDocument/2006/relationships/hyperlink" Target="mailto:jirku.irina@firmaabc.cz" TargetMode="External"/><Relationship Id="rId178" Type="http://schemas.openxmlformats.org/officeDocument/2006/relationships/hyperlink" Target="mailto:fiser.vlastimil@firmaabc.cz" TargetMode="External"/><Relationship Id="rId301" Type="http://schemas.openxmlformats.org/officeDocument/2006/relationships/hyperlink" Target="mailto:zednikova.eva@firmaabc.cz" TargetMode="External"/><Relationship Id="rId343" Type="http://schemas.openxmlformats.org/officeDocument/2006/relationships/hyperlink" Target="mailto:skoupa.sarka@firmaabc.cz" TargetMode="External"/><Relationship Id="rId82" Type="http://schemas.openxmlformats.org/officeDocument/2006/relationships/hyperlink" Target="mailto:pazourek.jiri@firmaabc.cz" TargetMode="External"/><Relationship Id="rId203" Type="http://schemas.openxmlformats.org/officeDocument/2006/relationships/hyperlink" Target="mailto:kulhanek.michal@firmaabc.cz" TargetMode="External"/><Relationship Id="rId385" Type="http://schemas.openxmlformats.org/officeDocument/2006/relationships/hyperlink" Target="mailto:krusinova.viktorie@firmaabc.cz" TargetMode="External"/><Relationship Id="rId245" Type="http://schemas.openxmlformats.org/officeDocument/2006/relationships/hyperlink" Target="mailto:juricova.hana@firmaabc.cz" TargetMode="External"/><Relationship Id="rId287" Type="http://schemas.openxmlformats.org/officeDocument/2006/relationships/hyperlink" Target="mailto:luksova.eva@firmaabc.cz" TargetMode="External"/><Relationship Id="rId410" Type="http://schemas.openxmlformats.org/officeDocument/2006/relationships/hyperlink" Target="mailto:hanzlikova.eva@firmaabc.cz" TargetMode="External"/><Relationship Id="rId452" Type="http://schemas.openxmlformats.org/officeDocument/2006/relationships/hyperlink" Target="mailto:lavickova.stepanka@firmaabc.cz" TargetMode="External"/><Relationship Id="rId494" Type="http://schemas.openxmlformats.org/officeDocument/2006/relationships/hyperlink" Target="mailto:peterka.lubomir@firmaabc.cz" TargetMode="External"/><Relationship Id="rId105" Type="http://schemas.openxmlformats.org/officeDocument/2006/relationships/hyperlink" Target="mailto:vondrasek.jan@firmaabc.cz" TargetMode="External"/><Relationship Id="rId147" Type="http://schemas.openxmlformats.org/officeDocument/2006/relationships/hyperlink" Target="mailto:vychodil.jan@firmaabc.cz" TargetMode="External"/><Relationship Id="rId312" Type="http://schemas.openxmlformats.org/officeDocument/2006/relationships/hyperlink" Target="mailto:navratilova.andrea@firmaabc.cz" TargetMode="External"/><Relationship Id="rId354" Type="http://schemas.openxmlformats.org/officeDocument/2006/relationships/hyperlink" Target="mailto:smutna.veronika@firmaabc.cz" TargetMode="External"/><Relationship Id="rId51" Type="http://schemas.openxmlformats.org/officeDocument/2006/relationships/hyperlink" Target="mailto:neoral.ondrej@firmaabc.cz" TargetMode="External"/><Relationship Id="rId93" Type="http://schemas.openxmlformats.org/officeDocument/2006/relationships/hyperlink" Target="mailto:plackova.eva@firmaabc.cz" TargetMode="External"/><Relationship Id="rId189" Type="http://schemas.openxmlformats.org/officeDocument/2006/relationships/hyperlink" Target="mailto:turek.petr@firmaabc.cz" TargetMode="External"/><Relationship Id="rId396" Type="http://schemas.openxmlformats.org/officeDocument/2006/relationships/hyperlink" Target="mailto:janda.ivan@firmaabc.cz" TargetMode="External"/><Relationship Id="rId214" Type="http://schemas.openxmlformats.org/officeDocument/2006/relationships/hyperlink" Target="mailto:frantova.eliska@firmaabc.cz" TargetMode="External"/><Relationship Id="rId256" Type="http://schemas.openxmlformats.org/officeDocument/2006/relationships/hyperlink" Target="mailto:kula.stanislav@firmaabc.cz" TargetMode="External"/><Relationship Id="rId298" Type="http://schemas.openxmlformats.org/officeDocument/2006/relationships/hyperlink" Target="mailto:hrdinova.hana@firmaabc.cz" TargetMode="External"/><Relationship Id="rId421" Type="http://schemas.openxmlformats.org/officeDocument/2006/relationships/hyperlink" Target="mailto:havel.ivan@firmaabc.cz" TargetMode="External"/><Relationship Id="rId463" Type="http://schemas.openxmlformats.org/officeDocument/2006/relationships/hyperlink" Target="mailto:peterka.martin@firmaabc.cz" TargetMode="External"/><Relationship Id="rId116" Type="http://schemas.openxmlformats.org/officeDocument/2006/relationships/hyperlink" Target="mailto:slavicek.stanislav@firmaabc.cz" TargetMode="External"/><Relationship Id="rId158" Type="http://schemas.openxmlformats.org/officeDocument/2006/relationships/hyperlink" Target="mailto:burianova.lenka@firmaabc.cz" TargetMode="External"/><Relationship Id="rId323" Type="http://schemas.openxmlformats.org/officeDocument/2006/relationships/hyperlink" Target="mailto:uchytilova.lenka@firmaabc.cz" TargetMode="External"/><Relationship Id="rId20" Type="http://schemas.openxmlformats.org/officeDocument/2006/relationships/hyperlink" Target="mailto:sliva.karel@firmaabc.cz" TargetMode="External"/><Relationship Id="rId62" Type="http://schemas.openxmlformats.org/officeDocument/2006/relationships/hyperlink" Target="mailto:kubatova.hana@firmaabc.cz" TargetMode="External"/><Relationship Id="rId365" Type="http://schemas.openxmlformats.org/officeDocument/2006/relationships/hyperlink" Target="mailto:svab.zdenek@firmaabc.cz" TargetMode="External"/><Relationship Id="rId225" Type="http://schemas.openxmlformats.org/officeDocument/2006/relationships/hyperlink" Target="mailto:kubatova.ivana@firmaabc.cz" TargetMode="External"/><Relationship Id="rId267" Type="http://schemas.openxmlformats.org/officeDocument/2006/relationships/hyperlink" Target="mailto:krajcovic.vladimir@firmaabc.cz" TargetMode="External"/><Relationship Id="rId432" Type="http://schemas.openxmlformats.org/officeDocument/2006/relationships/hyperlink" Target="mailto:uhlik.frantisek@firmaabc.cz" TargetMode="External"/><Relationship Id="rId474" Type="http://schemas.openxmlformats.org/officeDocument/2006/relationships/hyperlink" Target="mailto:pytlikova.veronika@firmaabc.cz" TargetMode="External"/><Relationship Id="rId127" Type="http://schemas.openxmlformats.org/officeDocument/2006/relationships/hyperlink" Target="mailto:nedvedova.zuzana@firmaabc.cz" TargetMode="External"/><Relationship Id="rId10" Type="http://schemas.openxmlformats.org/officeDocument/2006/relationships/hyperlink" Target="mailto:steflova.miroslava@firmaabc.cz" TargetMode="External"/><Relationship Id="rId31" Type="http://schemas.openxmlformats.org/officeDocument/2006/relationships/hyperlink" Target="mailto:vesely.lukas@firmaabc.cz" TargetMode="External"/><Relationship Id="rId52" Type="http://schemas.openxmlformats.org/officeDocument/2006/relationships/hyperlink" Target="mailto:kubica.jan@firmaabc.cz" TargetMode="External"/><Relationship Id="rId73" Type="http://schemas.openxmlformats.org/officeDocument/2006/relationships/hyperlink" Target="mailto:martinkova.regina@firmaabc.cz" TargetMode="External"/><Relationship Id="rId94" Type="http://schemas.openxmlformats.org/officeDocument/2006/relationships/hyperlink" Target="mailto:fridrich.martin@firmaabc.cz" TargetMode="External"/><Relationship Id="rId148" Type="http://schemas.openxmlformats.org/officeDocument/2006/relationships/hyperlink" Target="mailto:strejcek.jiri@firmaabc.cz" TargetMode="External"/><Relationship Id="rId169" Type="http://schemas.openxmlformats.org/officeDocument/2006/relationships/hyperlink" Target="mailto:kolajova.marta@firmaabc.cz" TargetMode="External"/><Relationship Id="rId334" Type="http://schemas.openxmlformats.org/officeDocument/2006/relationships/hyperlink" Target="mailto:?novak.david@firmaabc.cz" TargetMode="External"/><Relationship Id="rId355" Type="http://schemas.openxmlformats.org/officeDocument/2006/relationships/hyperlink" Target="mailto:zvonicek.libor@firmaabc.cz" TargetMode="External"/><Relationship Id="rId376" Type="http://schemas.openxmlformats.org/officeDocument/2006/relationships/hyperlink" Target="mailto:brejcha.michal@firmaabc.cz" TargetMode="External"/><Relationship Id="rId397" Type="http://schemas.openxmlformats.org/officeDocument/2006/relationships/hyperlink" Target="mailto:jechova.evzenie@firmaabc.cz" TargetMode="External"/><Relationship Id="rId4" Type="http://schemas.openxmlformats.org/officeDocument/2006/relationships/hyperlink" Target="mailto:holy.lumir@firmaabc.cz" TargetMode="External"/><Relationship Id="rId180" Type="http://schemas.openxmlformats.org/officeDocument/2006/relationships/hyperlink" Target="mailto:prazak.lukas@firmaabc.cz" TargetMode="External"/><Relationship Id="rId215" Type="http://schemas.openxmlformats.org/officeDocument/2006/relationships/hyperlink" Target="mailto:hartmann.milan@firmaabc.cz" TargetMode="External"/><Relationship Id="rId236" Type="http://schemas.openxmlformats.org/officeDocument/2006/relationships/hyperlink" Target="mailto:klas.josef@firmaabc.cz" TargetMode="External"/><Relationship Id="rId257" Type="http://schemas.openxmlformats.org/officeDocument/2006/relationships/hyperlink" Target="mailto:mestan.vladimir@firmaabc.cz" TargetMode="External"/><Relationship Id="rId278" Type="http://schemas.openxmlformats.org/officeDocument/2006/relationships/hyperlink" Target="mailto:?cerny.lukas@firmaabc.cz" TargetMode="External"/><Relationship Id="rId401" Type="http://schemas.openxmlformats.org/officeDocument/2006/relationships/hyperlink" Target="mailto:turek.ladislav@firmaabc.cz" TargetMode="External"/><Relationship Id="rId422" Type="http://schemas.openxmlformats.org/officeDocument/2006/relationships/hyperlink" Target="mailto:vykopalova.simona@firmaabc.cz" TargetMode="External"/><Relationship Id="rId443" Type="http://schemas.openxmlformats.org/officeDocument/2006/relationships/hyperlink" Target="mailto:hermanova.jana@firmaabc.cz" TargetMode="External"/><Relationship Id="rId464" Type="http://schemas.openxmlformats.org/officeDocument/2006/relationships/hyperlink" Target="mailto:prusa.waldemar@firmaabc.cz" TargetMode="External"/><Relationship Id="rId303" Type="http://schemas.openxmlformats.org/officeDocument/2006/relationships/hyperlink" Target="mailto:provaznikova.jirina@firmaabc.cz" TargetMode="External"/><Relationship Id="rId485" Type="http://schemas.openxmlformats.org/officeDocument/2006/relationships/hyperlink" Target="mailto:kockova.alena@firmaabc.cz" TargetMode="External"/><Relationship Id="rId42" Type="http://schemas.openxmlformats.org/officeDocument/2006/relationships/hyperlink" Target="mailto:lukasek.filip@firmaabc.cz" TargetMode="External"/><Relationship Id="rId84" Type="http://schemas.openxmlformats.org/officeDocument/2006/relationships/hyperlink" Target="mailto:kurkova.marie@firmaabc.cz" TargetMode="External"/><Relationship Id="rId138" Type="http://schemas.openxmlformats.org/officeDocument/2006/relationships/hyperlink" Target="mailto:kubatova.daria@firmaabc.cz" TargetMode="External"/><Relationship Id="rId345" Type="http://schemas.openxmlformats.org/officeDocument/2006/relationships/hyperlink" Target="mailto:koubkova.jana@firmaabc.cz" TargetMode="External"/><Relationship Id="rId387" Type="http://schemas.openxmlformats.org/officeDocument/2006/relationships/hyperlink" Target="mailto:ederova.jana@firmaabc.cz" TargetMode="External"/><Relationship Id="rId191" Type="http://schemas.openxmlformats.org/officeDocument/2006/relationships/hyperlink" Target="mailto:machalkova.katerina@firmaabc.cz" TargetMode="External"/><Relationship Id="rId205" Type="http://schemas.openxmlformats.org/officeDocument/2006/relationships/hyperlink" Target="mailto:kubala.robert@firmaabc.cz" TargetMode="External"/><Relationship Id="rId247" Type="http://schemas.openxmlformats.org/officeDocument/2006/relationships/hyperlink" Target="mailto:vostrelova.kristyna@firmaabc.cz" TargetMode="External"/><Relationship Id="rId412" Type="http://schemas.openxmlformats.org/officeDocument/2006/relationships/hyperlink" Target="mailto:duskova.helena@firmaabc.cz" TargetMode="External"/><Relationship Id="rId107" Type="http://schemas.openxmlformats.org/officeDocument/2006/relationships/hyperlink" Target="mailto:konecny.petr@firmaabc.cz" TargetMode="External"/><Relationship Id="rId289" Type="http://schemas.openxmlformats.org/officeDocument/2006/relationships/hyperlink" Target="mailto:benesova.jana@firmaabc.cz" TargetMode="External"/><Relationship Id="rId454" Type="http://schemas.openxmlformats.org/officeDocument/2006/relationships/hyperlink" Target="mailto:prchalova.marie@firmaabc.cz" TargetMode="External"/><Relationship Id="rId496" Type="http://schemas.openxmlformats.org/officeDocument/2006/relationships/hyperlink" Target="mailto:godla.jaroslav@firmaabc.cz" TargetMode="External"/><Relationship Id="rId11" Type="http://schemas.openxmlformats.org/officeDocument/2006/relationships/hyperlink" Target="mailto:reichova.ivana@firmaabc.cz" TargetMode="External"/><Relationship Id="rId53" Type="http://schemas.openxmlformats.org/officeDocument/2006/relationships/hyperlink" Target="mailto:hluchnik.stepan@firmaabc.cz" TargetMode="External"/><Relationship Id="rId149" Type="http://schemas.openxmlformats.org/officeDocument/2006/relationships/hyperlink" Target="mailto:levy.vladimir@firmaabc.cz" TargetMode="External"/><Relationship Id="rId314" Type="http://schemas.openxmlformats.org/officeDocument/2006/relationships/hyperlink" Target="mailto:hejna.marie@firmaabc.cz" TargetMode="External"/><Relationship Id="rId356" Type="http://schemas.openxmlformats.org/officeDocument/2006/relationships/hyperlink" Target="mailto:forst.vladimir@firmaabc.cz" TargetMode="External"/><Relationship Id="rId398" Type="http://schemas.openxmlformats.org/officeDocument/2006/relationships/hyperlink" Target="mailto:pletichova.sylvie@firmaabc.cz" TargetMode="External"/><Relationship Id="rId95" Type="http://schemas.openxmlformats.org/officeDocument/2006/relationships/hyperlink" Target="mailto:hrbac.bohuslav@firmaabc.cz" TargetMode="External"/><Relationship Id="rId160" Type="http://schemas.openxmlformats.org/officeDocument/2006/relationships/hyperlink" Target="mailto:kadlec.bohuslav@firmaabc.cz" TargetMode="External"/><Relationship Id="rId216" Type="http://schemas.openxmlformats.org/officeDocument/2006/relationships/hyperlink" Target="mailto:sigut.christian@firmaabc.cz" TargetMode="External"/><Relationship Id="rId423" Type="http://schemas.openxmlformats.org/officeDocument/2006/relationships/hyperlink" Target="mailto:pospisil.ondrej@firmaabc.cz" TargetMode="External"/><Relationship Id="rId258" Type="http://schemas.openxmlformats.org/officeDocument/2006/relationships/hyperlink" Target="mailto:sadovsky.frantisek@firmaabc.cz" TargetMode="External"/><Relationship Id="rId465" Type="http://schemas.openxmlformats.org/officeDocument/2006/relationships/hyperlink" Target="mailto:dolezal.jaroslav@firmaabc.cz" TargetMode="External"/><Relationship Id="rId22" Type="http://schemas.openxmlformats.org/officeDocument/2006/relationships/hyperlink" Target="mailto:dusek.jakub@firmaabc.cz" TargetMode="External"/><Relationship Id="rId64" Type="http://schemas.openxmlformats.org/officeDocument/2006/relationships/hyperlink" Target="mailto:janecek.kamil@firmaabc.cz" TargetMode="External"/><Relationship Id="rId118" Type="http://schemas.openxmlformats.org/officeDocument/2006/relationships/hyperlink" Target="mailto:kubasek.tomas@firmaabc.cz" TargetMode="External"/><Relationship Id="rId325" Type="http://schemas.openxmlformats.org/officeDocument/2006/relationships/hyperlink" Target="mailto:lahodova.renata@firmaabc.cz" TargetMode="External"/><Relationship Id="rId367" Type="http://schemas.openxmlformats.org/officeDocument/2006/relationships/hyperlink" Target="mailto:tichy.jakub@firmaabc.cz" TargetMode="External"/><Relationship Id="rId171" Type="http://schemas.openxmlformats.org/officeDocument/2006/relationships/hyperlink" Target="mailto:brzobohata.jana@firmaabc.cz" TargetMode="External"/><Relationship Id="rId227" Type="http://schemas.openxmlformats.org/officeDocument/2006/relationships/hyperlink" Target="mailto:sedova.martina@firmaabc.cz" TargetMode="External"/><Relationship Id="rId269" Type="http://schemas.openxmlformats.org/officeDocument/2006/relationships/hyperlink" Target="mailto:fiserova.anna@firmaabc.cz" TargetMode="External"/><Relationship Id="rId434" Type="http://schemas.openxmlformats.org/officeDocument/2006/relationships/hyperlink" Target="mailto:kadlecova.radka@firmaabc.cz" TargetMode="External"/><Relationship Id="rId476" Type="http://schemas.openxmlformats.org/officeDocument/2006/relationships/hyperlink" Target="mailto:hajkova.veronika@firmaabc.cz" TargetMode="External"/><Relationship Id="rId33" Type="http://schemas.openxmlformats.org/officeDocument/2006/relationships/hyperlink" Target="mailto:tuma.frantisek@firmaabc.cz" TargetMode="External"/><Relationship Id="rId129" Type="http://schemas.openxmlformats.org/officeDocument/2006/relationships/hyperlink" Target="mailto:matal.lubos@firmaabc.cz" TargetMode="External"/><Relationship Id="rId280" Type="http://schemas.openxmlformats.org/officeDocument/2006/relationships/hyperlink" Target="mailto:konecny.michal@firmaabc.cz" TargetMode="External"/><Relationship Id="rId336" Type="http://schemas.openxmlformats.org/officeDocument/2006/relationships/hyperlink" Target="mailto:novotny.jaroslav@firmaabc.cz" TargetMode="External"/><Relationship Id="rId501" Type="http://schemas.openxmlformats.org/officeDocument/2006/relationships/printerSettings" Target="../printerSettings/printerSettings1.bin"/><Relationship Id="rId75" Type="http://schemas.openxmlformats.org/officeDocument/2006/relationships/hyperlink" Target="mailto:palek.daniel@firmaabc.cz" TargetMode="External"/><Relationship Id="rId140" Type="http://schemas.openxmlformats.org/officeDocument/2006/relationships/hyperlink" Target="mailto:sucha.eva@firmaabc.cz" TargetMode="External"/><Relationship Id="rId182" Type="http://schemas.openxmlformats.org/officeDocument/2006/relationships/hyperlink" Target="mailto:roubicek.tomas@firmaabc.cz" TargetMode="External"/><Relationship Id="rId378" Type="http://schemas.openxmlformats.org/officeDocument/2006/relationships/hyperlink" Target="mailto:kourilova.jaroslava@firmaabc.cz" TargetMode="External"/><Relationship Id="rId403" Type="http://schemas.openxmlformats.org/officeDocument/2006/relationships/hyperlink" Target="mailto:suchy.stanislav@firmaabc.cz" TargetMode="External"/><Relationship Id="rId6" Type="http://schemas.openxmlformats.org/officeDocument/2006/relationships/hyperlink" Target="mailto:glogar.jan@firmaabc.cz" TargetMode="External"/><Relationship Id="rId238" Type="http://schemas.openxmlformats.org/officeDocument/2006/relationships/hyperlink" Target="mailto:zouhar.miroslav@firmaabc.cz" TargetMode="External"/><Relationship Id="rId445" Type="http://schemas.openxmlformats.org/officeDocument/2006/relationships/hyperlink" Target="mailto:cigankova.veronika@firmaabc.cz" TargetMode="External"/><Relationship Id="rId487" Type="http://schemas.openxmlformats.org/officeDocument/2006/relationships/hyperlink" Target="mailto:hurtova.sona@firmaabc.cz" TargetMode="External"/><Relationship Id="rId291" Type="http://schemas.openxmlformats.org/officeDocument/2006/relationships/hyperlink" Target="mailto:masterova.miluse@firmaabc.cz" TargetMode="External"/><Relationship Id="rId305" Type="http://schemas.openxmlformats.org/officeDocument/2006/relationships/hyperlink" Target="mailto:hrabetova.valerie@firmaabc.cz" TargetMode="External"/><Relationship Id="rId347" Type="http://schemas.openxmlformats.org/officeDocument/2006/relationships/hyperlink" Target="mailto:majorova.julie@firmaabc.cz" TargetMode="External"/><Relationship Id="rId44" Type="http://schemas.openxmlformats.org/officeDocument/2006/relationships/hyperlink" Target="mailto:platenikova.dominika@firmaabc.cz" TargetMode="External"/><Relationship Id="rId86" Type="http://schemas.openxmlformats.org/officeDocument/2006/relationships/hyperlink" Target="mailto:macku.martin@firmaabc.cz" TargetMode="External"/><Relationship Id="rId151" Type="http://schemas.openxmlformats.org/officeDocument/2006/relationships/hyperlink" Target="mailto:vaneckova.katerina@firmaabc.cz" TargetMode="External"/><Relationship Id="rId389" Type="http://schemas.openxmlformats.org/officeDocument/2006/relationships/hyperlink" Target="mailto:fabian.dusan@firmaabc.cz" TargetMode="External"/><Relationship Id="rId193" Type="http://schemas.openxmlformats.org/officeDocument/2006/relationships/hyperlink" Target="mailto:dvorak.marek@firmaabc.cz" TargetMode="External"/><Relationship Id="rId207" Type="http://schemas.openxmlformats.org/officeDocument/2006/relationships/hyperlink" Target="mailto:capkova.petra@firmaabc.cz" TargetMode="External"/><Relationship Id="rId249" Type="http://schemas.openxmlformats.org/officeDocument/2006/relationships/hyperlink" Target="mailto:slezak.jaroslav@firmaabc.cz" TargetMode="External"/><Relationship Id="rId414" Type="http://schemas.openxmlformats.org/officeDocument/2006/relationships/hyperlink" Target="mailto:sedlak.robert@firmaabc.cz" TargetMode="External"/><Relationship Id="rId456" Type="http://schemas.openxmlformats.org/officeDocument/2006/relationships/hyperlink" Target="mailto:zichova.marie@firmaabc.cz" TargetMode="External"/><Relationship Id="rId498" Type="http://schemas.openxmlformats.org/officeDocument/2006/relationships/hyperlink" Target="mailto:cerny.karel@firmaabc.cz" TargetMode="External"/><Relationship Id="rId13" Type="http://schemas.openxmlformats.org/officeDocument/2006/relationships/hyperlink" Target="mailto:kubes.tomas@firmaabc.cz" TargetMode="External"/><Relationship Id="rId109" Type="http://schemas.openxmlformats.org/officeDocument/2006/relationships/hyperlink" Target="mailto:cernohousova.jirina@firmaabc.cz" TargetMode="External"/><Relationship Id="rId260" Type="http://schemas.openxmlformats.org/officeDocument/2006/relationships/hyperlink" Target="mailto:frohlichova.zaneta@firmaabc.cz" TargetMode="External"/><Relationship Id="rId316" Type="http://schemas.openxmlformats.org/officeDocument/2006/relationships/hyperlink" Target="mailto:eliasova.eva@firmaabc.cz" TargetMode="External"/><Relationship Id="rId55" Type="http://schemas.openxmlformats.org/officeDocument/2006/relationships/hyperlink" Target="mailto:cerna.jaroslava@firmaabc.cz" TargetMode="External"/><Relationship Id="rId97" Type="http://schemas.openxmlformats.org/officeDocument/2006/relationships/hyperlink" Target="mailto:horak.robert@firmaabc.cz" TargetMode="External"/><Relationship Id="rId120" Type="http://schemas.openxmlformats.org/officeDocument/2006/relationships/hyperlink" Target="mailto:?svoboda.jakub@firmaabc.cz" TargetMode="External"/><Relationship Id="rId358" Type="http://schemas.openxmlformats.org/officeDocument/2006/relationships/hyperlink" Target="mailto:dubinova.veronika@firmaabc.cz" TargetMode="External"/><Relationship Id="rId162" Type="http://schemas.openxmlformats.org/officeDocument/2006/relationships/hyperlink" Target="mailto:korinkova.michaela@firmaabc.cz" TargetMode="External"/><Relationship Id="rId218" Type="http://schemas.openxmlformats.org/officeDocument/2006/relationships/hyperlink" Target="mailto:simkova.eva@firmaabc.cz" TargetMode="External"/><Relationship Id="rId425" Type="http://schemas.openxmlformats.org/officeDocument/2006/relationships/hyperlink" Target="mailto:simonova.michaela@firmaabc.cz" TargetMode="External"/><Relationship Id="rId467" Type="http://schemas.openxmlformats.org/officeDocument/2006/relationships/hyperlink" Target="mailto:novosadova.vera@firmaabc.cz" TargetMode="External"/><Relationship Id="rId271" Type="http://schemas.openxmlformats.org/officeDocument/2006/relationships/hyperlink" Target="mailto:souralova.dagmar@firmaabc.cz" TargetMode="External"/><Relationship Id="rId24" Type="http://schemas.openxmlformats.org/officeDocument/2006/relationships/hyperlink" Target="mailto:smejkalova.jitka@firmaabc.cz" TargetMode="External"/><Relationship Id="rId66" Type="http://schemas.openxmlformats.org/officeDocument/2006/relationships/hyperlink" Target="mailto:jelinek.radek@firmaabc.cz" TargetMode="External"/><Relationship Id="rId131" Type="http://schemas.openxmlformats.org/officeDocument/2006/relationships/hyperlink" Target="mailto:sopik.bohumil@firmaabc.cz" TargetMode="External"/><Relationship Id="rId327" Type="http://schemas.openxmlformats.org/officeDocument/2006/relationships/hyperlink" Target="mailto:havrdova.jana@firmaabc.cz" TargetMode="External"/><Relationship Id="rId369" Type="http://schemas.openxmlformats.org/officeDocument/2006/relationships/hyperlink" Target="mailto:marecek.karel@firmaabc.cz" TargetMode="External"/><Relationship Id="rId173" Type="http://schemas.openxmlformats.org/officeDocument/2006/relationships/hyperlink" Target="mailto:kozisek.martin@firmaabc.cz" TargetMode="External"/><Relationship Id="rId229" Type="http://schemas.openxmlformats.org/officeDocument/2006/relationships/hyperlink" Target="mailto:grunt.petr@firmaabc.cz" TargetMode="External"/><Relationship Id="rId380" Type="http://schemas.openxmlformats.org/officeDocument/2006/relationships/hyperlink" Target="mailto:hruby.jaromir@firmaabc.cz" TargetMode="External"/><Relationship Id="rId436" Type="http://schemas.openxmlformats.org/officeDocument/2006/relationships/hyperlink" Target="mailto:kabicek.pavel@firmaabc.cz" TargetMode="External"/><Relationship Id="rId240" Type="http://schemas.openxmlformats.org/officeDocument/2006/relationships/hyperlink" Target="mailto:krizova.monika@firmaabc.cz" TargetMode="External"/><Relationship Id="rId478" Type="http://schemas.openxmlformats.org/officeDocument/2006/relationships/hyperlink" Target="mailto:rajtr.pavel@firmaabc.cz" TargetMode="External"/><Relationship Id="rId35" Type="http://schemas.openxmlformats.org/officeDocument/2006/relationships/hyperlink" Target="mailto:prihodova.sarka@firmaabc.cz" TargetMode="External"/><Relationship Id="rId77" Type="http://schemas.openxmlformats.org/officeDocument/2006/relationships/hyperlink" Target="mailto:kratochvil.david@firmaabc.cz" TargetMode="External"/><Relationship Id="rId100" Type="http://schemas.openxmlformats.org/officeDocument/2006/relationships/hyperlink" Target="mailto:bartosova.hana@firmaabc.cz" TargetMode="External"/><Relationship Id="rId282" Type="http://schemas.openxmlformats.org/officeDocument/2006/relationships/hyperlink" Target="mailto:gorolova.ruzena@firmaabc.cz" TargetMode="External"/><Relationship Id="rId338" Type="http://schemas.openxmlformats.org/officeDocument/2006/relationships/hyperlink" Target="mailto:oslejskova.karla@firmaabc.cz" TargetMode="External"/><Relationship Id="rId8" Type="http://schemas.openxmlformats.org/officeDocument/2006/relationships/hyperlink" Target="mailto:kopecek.michal@firmaabc.cz" TargetMode="External"/><Relationship Id="rId142" Type="http://schemas.openxmlformats.org/officeDocument/2006/relationships/hyperlink" Target="mailto:tvrda.katerina@firmaabc.cz" TargetMode="External"/><Relationship Id="rId184" Type="http://schemas.openxmlformats.org/officeDocument/2006/relationships/hyperlink" Target="mailto:belohlavek.josef@firmaabc.cz" TargetMode="External"/><Relationship Id="rId391" Type="http://schemas.openxmlformats.org/officeDocument/2006/relationships/hyperlink" Target="mailto:bednar.stanislav@firmaabc.cz" TargetMode="External"/><Relationship Id="rId405" Type="http://schemas.openxmlformats.org/officeDocument/2006/relationships/hyperlink" Target="mailto:sejkorova.barbora@firmaabc.cz" TargetMode="External"/><Relationship Id="rId447" Type="http://schemas.openxmlformats.org/officeDocument/2006/relationships/hyperlink" Target="mailto:cihlarova.lubomira@firmaabc.cz" TargetMode="External"/><Relationship Id="rId251" Type="http://schemas.openxmlformats.org/officeDocument/2006/relationships/hyperlink" Target="mailto:kalenda.karel@firmaabc.cz" TargetMode="External"/><Relationship Id="rId489" Type="http://schemas.openxmlformats.org/officeDocument/2006/relationships/hyperlink" Target="mailto:balikova.jana@firmaabc.cz" TargetMode="External"/><Relationship Id="rId46" Type="http://schemas.openxmlformats.org/officeDocument/2006/relationships/hyperlink" Target="mailto:janickova.iveta@firmaabc.cz" TargetMode="External"/><Relationship Id="rId293" Type="http://schemas.openxmlformats.org/officeDocument/2006/relationships/hyperlink" Target="mailto:pospisilova.vladimira@firmaabc.cz" TargetMode="External"/><Relationship Id="rId307" Type="http://schemas.openxmlformats.org/officeDocument/2006/relationships/hyperlink" Target="mailto:jindrichova.renata@firmaabc.cz" TargetMode="External"/><Relationship Id="rId349" Type="http://schemas.openxmlformats.org/officeDocument/2006/relationships/hyperlink" Target="mailto:novakova.anna@firmaabc.cz" TargetMode="External"/><Relationship Id="rId88" Type="http://schemas.openxmlformats.org/officeDocument/2006/relationships/hyperlink" Target="mailto:kopal.antonin@firmaabc.cz" TargetMode="External"/><Relationship Id="rId111" Type="http://schemas.openxmlformats.org/officeDocument/2006/relationships/hyperlink" Target="mailto:stoudek.petr@firmaabc.cz" TargetMode="External"/><Relationship Id="rId153" Type="http://schemas.openxmlformats.org/officeDocument/2006/relationships/hyperlink" Target="mailto:canda.oldrich@firmaabc.cz" TargetMode="External"/><Relationship Id="rId195" Type="http://schemas.openxmlformats.org/officeDocument/2006/relationships/hyperlink" Target="mailto:popovic.david@firmaabc.cz" TargetMode="External"/><Relationship Id="rId209" Type="http://schemas.openxmlformats.org/officeDocument/2006/relationships/hyperlink" Target="mailto:medkova.sylvie@firmaabc.cz" TargetMode="External"/><Relationship Id="rId360" Type="http://schemas.openxmlformats.org/officeDocument/2006/relationships/hyperlink" Target="mailto:sramek.jakub@firmaabc.cz" TargetMode="External"/><Relationship Id="rId416" Type="http://schemas.openxmlformats.org/officeDocument/2006/relationships/hyperlink" Target="mailto:rihackova.emilie@firmaabc.cz" TargetMode="External"/><Relationship Id="rId220" Type="http://schemas.openxmlformats.org/officeDocument/2006/relationships/hyperlink" Target="mailto:hrbackova.eliska@firmaabc.cz" TargetMode="External"/><Relationship Id="rId458" Type="http://schemas.openxmlformats.org/officeDocument/2006/relationships/hyperlink" Target="mailto:navratilova.marie@firmaabc.cz" TargetMode="External"/><Relationship Id="rId15" Type="http://schemas.openxmlformats.org/officeDocument/2006/relationships/hyperlink" Target="mailto:norkova.ludmila@firmaabc.cz" TargetMode="External"/><Relationship Id="rId57" Type="http://schemas.openxmlformats.org/officeDocument/2006/relationships/hyperlink" Target="mailto:soukupova.zdenka@firmaabc.cz" TargetMode="External"/><Relationship Id="rId262" Type="http://schemas.openxmlformats.org/officeDocument/2006/relationships/hyperlink" Target="mailto:kapoun.patrik@firmaabc.cz" TargetMode="External"/><Relationship Id="rId318" Type="http://schemas.openxmlformats.org/officeDocument/2006/relationships/hyperlink" Target="mailto:uhlir.rudolf@firmaabc.cz" TargetMode="External"/><Relationship Id="rId99" Type="http://schemas.openxmlformats.org/officeDocument/2006/relationships/hyperlink" Target="mailto:lerchova.anna@firmaabc.cz" TargetMode="External"/><Relationship Id="rId122" Type="http://schemas.openxmlformats.org/officeDocument/2006/relationships/hyperlink" Target="mailto:petr.jan@firmaabc.cz" TargetMode="External"/><Relationship Id="rId164" Type="http://schemas.openxmlformats.org/officeDocument/2006/relationships/hyperlink" Target="mailto:smolikova.dobromila@firmaabc.cz" TargetMode="External"/><Relationship Id="rId371" Type="http://schemas.openxmlformats.org/officeDocument/2006/relationships/hyperlink" Target="mailto:svobodova.nicole@firmaabc.cz" TargetMode="External"/><Relationship Id="rId427" Type="http://schemas.openxmlformats.org/officeDocument/2006/relationships/hyperlink" Target="mailto:hanusova.libuse@firmaabc.cz" TargetMode="External"/><Relationship Id="rId469" Type="http://schemas.openxmlformats.org/officeDocument/2006/relationships/hyperlink" Target="mailto:macha.jan@firmaabc.cz" TargetMode="External"/><Relationship Id="rId26" Type="http://schemas.openxmlformats.org/officeDocument/2006/relationships/hyperlink" Target="mailto:skalska.katerina@firmaabc.cz" TargetMode="External"/><Relationship Id="rId231" Type="http://schemas.openxmlformats.org/officeDocument/2006/relationships/hyperlink" Target="mailto:kabelac.lukas@firmaabc.cz" TargetMode="External"/><Relationship Id="rId273" Type="http://schemas.openxmlformats.org/officeDocument/2006/relationships/hyperlink" Target="mailto:hajkova.kristyna@firmaabc.cz" TargetMode="External"/><Relationship Id="rId329" Type="http://schemas.openxmlformats.org/officeDocument/2006/relationships/hyperlink" Target="mailto:matejkova.viktoriya@firmaabc.cz" TargetMode="External"/><Relationship Id="rId480" Type="http://schemas.openxmlformats.org/officeDocument/2006/relationships/hyperlink" Target="mailto:novotny.pavel@firmaabc.cz" TargetMode="External"/><Relationship Id="rId68" Type="http://schemas.openxmlformats.org/officeDocument/2006/relationships/hyperlink" Target="mailto:komarek.jakub@firmaabc.cz" TargetMode="External"/><Relationship Id="rId133" Type="http://schemas.openxmlformats.org/officeDocument/2006/relationships/hyperlink" Target="mailto:petrik.petr@firmaabc.cz" TargetMode="External"/><Relationship Id="rId175" Type="http://schemas.openxmlformats.org/officeDocument/2006/relationships/hyperlink" Target="mailto:balazova.milena@firmaabc.cz" TargetMode="External"/><Relationship Id="rId340" Type="http://schemas.openxmlformats.org/officeDocument/2006/relationships/hyperlink" Target="mailto:hubkova.marketa@firmaabc.cz" TargetMode="External"/><Relationship Id="rId200" Type="http://schemas.openxmlformats.org/officeDocument/2006/relationships/hyperlink" Target="mailto:cardova.vera@firmaabc.cz" TargetMode="External"/><Relationship Id="rId382" Type="http://schemas.openxmlformats.org/officeDocument/2006/relationships/hyperlink" Target="mailto:bockova.michaela@firmaabc.cz" TargetMode="External"/><Relationship Id="rId438" Type="http://schemas.openxmlformats.org/officeDocument/2006/relationships/hyperlink" Target="mailto:?horak.tomas@firmaabc.cz" TargetMode="External"/><Relationship Id="rId242" Type="http://schemas.openxmlformats.org/officeDocument/2006/relationships/hyperlink" Target="mailto:ferko.vladimir@firmaabc.cz" TargetMode="External"/><Relationship Id="rId284" Type="http://schemas.openxmlformats.org/officeDocument/2006/relationships/hyperlink" Target="mailto:chytilova.lucie@firmaabc.cz" TargetMode="External"/><Relationship Id="rId491" Type="http://schemas.openxmlformats.org/officeDocument/2006/relationships/hyperlink" Target="mailto:slama.jakub@firmaabc.cz" TargetMode="External"/><Relationship Id="rId37" Type="http://schemas.openxmlformats.org/officeDocument/2006/relationships/hyperlink" Target="mailto:?dvorak.jiri@firmaabc.cz" TargetMode="External"/><Relationship Id="rId79" Type="http://schemas.openxmlformats.org/officeDocument/2006/relationships/hyperlink" Target="mailto:volf.marek@firmaabc.cz" TargetMode="External"/><Relationship Id="rId102" Type="http://schemas.openxmlformats.org/officeDocument/2006/relationships/hyperlink" Target="mailto:gabriel.vladimir@firmaabc.cz" TargetMode="External"/><Relationship Id="rId144" Type="http://schemas.openxmlformats.org/officeDocument/2006/relationships/hyperlink" Target="mailto:?novak.david@firmaabc.cz" TargetMode="External"/><Relationship Id="rId90" Type="http://schemas.openxmlformats.org/officeDocument/2006/relationships/hyperlink" Target="mailto:bartosek.oto@firmaabc.cz" TargetMode="External"/><Relationship Id="rId186" Type="http://schemas.openxmlformats.org/officeDocument/2006/relationships/hyperlink" Target="mailto:patka.jiri@firmaabc.cz" TargetMode="External"/><Relationship Id="rId351" Type="http://schemas.openxmlformats.org/officeDocument/2006/relationships/hyperlink" Target="mailto:fiser.roman@firmaabc.cz" TargetMode="External"/><Relationship Id="rId393" Type="http://schemas.openxmlformats.org/officeDocument/2006/relationships/hyperlink" Target="mailto:karnik.marek@firmaabc.cz" TargetMode="External"/><Relationship Id="rId407" Type="http://schemas.openxmlformats.org/officeDocument/2006/relationships/hyperlink" Target="mailto:klirova.lucie@firmaabc.cz" TargetMode="External"/><Relationship Id="rId449" Type="http://schemas.openxmlformats.org/officeDocument/2006/relationships/hyperlink" Target="mailto:bukackova.vlasta@firmaabc.cz" TargetMode="External"/><Relationship Id="rId211" Type="http://schemas.openxmlformats.org/officeDocument/2006/relationships/hyperlink" Target="mailto:soukupova.michaela@firmaabc.cz" TargetMode="External"/><Relationship Id="rId253" Type="http://schemas.openxmlformats.org/officeDocument/2006/relationships/hyperlink" Target="mailto:sykorova.viktorie@firmaabc.cz" TargetMode="External"/><Relationship Id="rId295" Type="http://schemas.openxmlformats.org/officeDocument/2006/relationships/hyperlink" Target="mailto:krausova.ruzena@firmaabc.cz" TargetMode="External"/><Relationship Id="rId309" Type="http://schemas.openxmlformats.org/officeDocument/2006/relationships/hyperlink" Target="mailto:vodehnal.michal@firmaabc.cz" TargetMode="External"/><Relationship Id="rId460" Type="http://schemas.openxmlformats.org/officeDocument/2006/relationships/hyperlink" Target="mailto:sulova.helena@firmaabc.cz" TargetMode="External"/><Relationship Id="rId48" Type="http://schemas.openxmlformats.org/officeDocument/2006/relationships/hyperlink" Target="mailto:horvath.pavel@firmaabc.cz" TargetMode="External"/><Relationship Id="rId113" Type="http://schemas.openxmlformats.org/officeDocument/2006/relationships/hyperlink" Target="mailto:silhan.sergii@firmaabc.cz" TargetMode="External"/><Relationship Id="rId320" Type="http://schemas.openxmlformats.org/officeDocument/2006/relationships/hyperlink" Target="mailto:pajer.milan@firmaabc.cz" TargetMode="External"/><Relationship Id="rId155" Type="http://schemas.openxmlformats.org/officeDocument/2006/relationships/hyperlink" Target="mailto:martan.jaroslav@firmaabc.cz" TargetMode="External"/><Relationship Id="rId197" Type="http://schemas.openxmlformats.org/officeDocument/2006/relationships/hyperlink" Target="mailto:petr.karel@firmaabc.cz" TargetMode="External"/><Relationship Id="rId362" Type="http://schemas.openxmlformats.org/officeDocument/2006/relationships/hyperlink" Target="mailto:valenta.boleslav@firmaabc.cz" TargetMode="External"/><Relationship Id="rId418" Type="http://schemas.openxmlformats.org/officeDocument/2006/relationships/hyperlink" Target="mailto:mikulenkova.eva@firmaabc.cz" TargetMode="External"/><Relationship Id="rId222" Type="http://schemas.openxmlformats.org/officeDocument/2006/relationships/hyperlink" Target="mailto:kopecna.anna@firmaabc.cz" TargetMode="External"/><Relationship Id="rId264" Type="http://schemas.openxmlformats.org/officeDocument/2006/relationships/hyperlink" Target="mailto:jurecka.jan@firmaabc.cz" TargetMode="External"/><Relationship Id="rId471" Type="http://schemas.openxmlformats.org/officeDocument/2006/relationships/hyperlink" Target="mailto:krizova.ivanka@firmaabc.cz" TargetMode="External"/><Relationship Id="rId17" Type="http://schemas.openxmlformats.org/officeDocument/2006/relationships/hyperlink" Target="mailto:jedlicka.vladimir@firmaabc.cz" TargetMode="External"/><Relationship Id="rId59" Type="http://schemas.openxmlformats.org/officeDocument/2006/relationships/hyperlink" Target="mailto:tesarik.david@firmaabc.cz" TargetMode="External"/><Relationship Id="rId124" Type="http://schemas.openxmlformats.org/officeDocument/2006/relationships/hyperlink" Target="mailto:zdarsky.jan@firmaabc.cz" TargetMode="External"/><Relationship Id="rId70" Type="http://schemas.openxmlformats.org/officeDocument/2006/relationships/hyperlink" Target="mailto:stursa.pavel@firmaabc.cz" TargetMode="External"/><Relationship Id="rId166" Type="http://schemas.openxmlformats.org/officeDocument/2006/relationships/hyperlink" Target="mailto:stastny.karel@firmaabc.cz" TargetMode="External"/><Relationship Id="rId331" Type="http://schemas.openxmlformats.org/officeDocument/2006/relationships/hyperlink" Target="mailto:petr.daniel@firmaabc.cz" TargetMode="External"/><Relationship Id="rId373" Type="http://schemas.openxmlformats.org/officeDocument/2006/relationships/hyperlink" Target="mailto:?prochazka.jiri@firmaabc.cz" TargetMode="External"/><Relationship Id="rId429" Type="http://schemas.openxmlformats.org/officeDocument/2006/relationships/hyperlink" Target="mailto:nosek.jan@firmaabc.cz" TargetMode="External"/><Relationship Id="rId1" Type="http://schemas.openxmlformats.org/officeDocument/2006/relationships/hyperlink" Target="mailto:albert.karel@firmaabc.cz" TargetMode="External"/><Relationship Id="rId233" Type="http://schemas.openxmlformats.org/officeDocument/2006/relationships/hyperlink" Target="mailto:trnecka.petr@firmaabc.cz" TargetMode="External"/><Relationship Id="rId440" Type="http://schemas.openxmlformats.org/officeDocument/2006/relationships/hyperlink" Target="mailto:bulva.frantisek@firmaabc.cz" TargetMode="External"/><Relationship Id="rId28" Type="http://schemas.openxmlformats.org/officeDocument/2006/relationships/hyperlink" Target="mailto:chlubna.pavel@firmaabc.cz" TargetMode="External"/><Relationship Id="rId275" Type="http://schemas.openxmlformats.org/officeDocument/2006/relationships/hyperlink" Target="mailto:?prochazka.marcel@firmaabc.cz" TargetMode="External"/><Relationship Id="rId300" Type="http://schemas.openxmlformats.org/officeDocument/2006/relationships/hyperlink" Target="mailto:novakova.marcela@firmaabc.cz" TargetMode="External"/><Relationship Id="rId482" Type="http://schemas.openxmlformats.org/officeDocument/2006/relationships/hyperlink" Target="mailto:kos.frantisek@firmaabc.cz" TargetMode="External"/><Relationship Id="rId81" Type="http://schemas.openxmlformats.org/officeDocument/2006/relationships/hyperlink" Target="mailto:mudrova.nada@firmaabc.cz" TargetMode="External"/><Relationship Id="rId135" Type="http://schemas.openxmlformats.org/officeDocument/2006/relationships/hyperlink" Target="mailto:kubelka.pavel@firmaabc.cz" TargetMode="External"/><Relationship Id="rId177" Type="http://schemas.openxmlformats.org/officeDocument/2006/relationships/hyperlink" Target="mailto:stejskalova.martina@firmaabc.cz" TargetMode="External"/><Relationship Id="rId342" Type="http://schemas.openxmlformats.org/officeDocument/2006/relationships/hyperlink" Target="mailto:jezek.frantisek@firmaabc.cz" TargetMode="External"/><Relationship Id="rId384" Type="http://schemas.openxmlformats.org/officeDocument/2006/relationships/hyperlink" Target="mailto:duskova.dagmar@firmaabc.cz" TargetMode="External"/><Relationship Id="rId202" Type="http://schemas.openxmlformats.org/officeDocument/2006/relationships/hyperlink" Target="mailto:novotna.iveta@firmaabc.cz" TargetMode="External"/><Relationship Id="rId244" Type="http://schemas.openxmlformats.org/officeDocument/2006/relationships/hyperlink" Target="mailto:sladek.jaroslav@firmaabc.cz" TargetMode="External"/><Relationship Id="rId39" Type="http://schemas.openxmlformats.org/officeDocument/2006/relationships/hyperlink" Target="mailto:bradacova.marie@firmaabc.cz" TargetMode="External"/><Relationship Id="rId286" Type="http://schemas.openxmlformats.org/officeDocument/2006/relationships/hyperlink" Target="mailto:liska.ludek@firmaabc.cz" TargetMode="External"/><Relationship Id="rId451" Type="http://schemas.openxmlformats.org/officeDocument/2006/relationships/hyperlink" Target="mailto:vasikova.denisa@firmaabc.cz" TargetMode="External"/><Relationship Id="rId493" Type="http://schemas.openxmlformats.org/officeDocument/2006/relationships/hyperlink" Target="mailto:jurova.lenka@firmaabc.cz" TargetMode="External"/><Relationship Id="rId50" Type="http://schemas.openxmlformats.org/officeDocument/2006/relationships/hyperlink" Target="mailto:drahos.josef@firmaabc.cz" TargetMode="External"/><Relationship Id="rId104" Type="http://schemas.openxmlformats.org/officeDocument/2006/relationships/hyperlink" Target="mailto:mayerova.zaneta@firmaabc.cz" TargetMode="External"/><Relationship Id="rId146" Type="http://schemas.openxmlformats.org/officeDocument/2006/relationships/hyperlink" Target="mailto:vacek.lubos@firmaabc.cz" TargetMode="External"/><Relationship Id="rId188" Type="http://schemas.openxmlformats.org/officeDocument/2006/relationships/hyperlink" Target="mailto:krenek.matej@firmaabc.cz" TargetMode="External"/><Relationship Id="rId311" Type="http://schemas.openxmlformats.org/officeDocument/2006/relationships/hyperlink" Target="mailto:dolezalova.lenka@firmaabc.cz" TargetMode="External"/><Relationship Id="rId353" Type="http://schemas.openxmlformats.org/officeDocument/2006/relationships/hyperlink" Target="mailto:mitasova.marketa@firmaabc.cz" TargetMode="External"/><Relationship Id="rId395" Type="http://schemas.openxmlformats.org/officeDocument/2006/relationships/hyperlink" Target="mailto:varga.ivo@firmaabc.cz" TargetMode="External"/><Relationship Id="rId409" Type="http://schemas.openxmlformats.org/officeDocument/2006/relationships/hyperlink" Target="mailto:blazkova.anna@firmaabc.cz" TargetMode="External"/><Relationship Id="rId92" Type="http://schemas.openxmlformats.org/officeDocument/2006/relationships/hyperlink" Target="mailto:roznovska.jitka@firmaabc.cz" TargetMode="External"/><Relationship Id="rId213" Type="http://schemas.openxmlformats.org/officeDocument/2006/relationships/hyperlink" Target="mailto:slavik.vladimir@firmaabc.cz" TargetMode="External"/><Relationship Id="rId420" Type="http://schemas.openxmlformats.org/officeDocument/2006/relationships/hyperlink" Target="mailto:husar.jaroslav@firmaabc.cz" TargetMode="External"/><Relationship Id="rId255" Type="http://schemas.openxmlformats.org/officeDocument/2006/relationships/hyperlink" Target="mailto:hartl.david@firmaabc.cz" TargetMode="External"/><Relationship Id="rId297" Type="http://schemas.openxmlformats.org/officeDocument/2006/relationships/hyperlink" Target="mailto:kejvalova.lenka@firmaabc.cz" TargetMode="External"/><Relationship Id="rId462" Type="http://schemas.openxmlformats.org/officeDocument/2006/relationships/hyperlink" Target="mailto:smejkal.milos@firmaabc.cz" TargetMode="External"/><Relationship Id="rId115" Type="http://schemas.openxmlformats.org/officeDocument/2006/relationships/hyperlink" Target="mailto:conka.lukas@firmaabc.cz" TargetMode="External"/><Relationship Id="rId157" Type="http://schemas.openxmlformats.org/officeDocument/2006/relationships/hyperlink" Target="mailto:beran.josef@firmaabc.cz" TargetMode="External"/><Relationship Id="rId322" Type="http://schemas.openxmlformats.org/officeDocument/2006/relationships/hyperlink" Target="mailto:domansky.vlastimil@firmaabc.cz" TargetMode="External"/><Relationship Id="rId364" Type="http://schemas.openxmlformats.org/officeDocument/2006/relationships/hyperlink" Target="mailto:hostalkova.milena@firmaabc.cz" TargetMode="External"/><Relationship Id="rId61" Type="http://schemas.openxmlformats.org/officeDocument/2006/relationships/hyperlink" Target="mailto:helesic.jan@firmaabc.cz" TargetMode="External"/><Relationship Id="rId199" Type="http://schemas.openxmlformats.org/officeDocument/2006/relationships/hyperlink" Target="mailto:adam.jan@firmaabc.cz" TargetMode="External"/><Relationship Id="rId19" Type="http://schemas.openxmlformats.org/officeDocument/2006/relationships/hyperlink" Target="mailto:karlova.dagmar@firmaabc.cz" TargetMode="External"/><Relationship Id="rId224" Type="http://schemas.openxmlformats.org/officeDocument/2006/relationships/hyperlink" Target="mailto:hamplova.vlasta@firmaabc.cz" TargetMode="External"/><Relationship Id="rId266" Type="http://schemas.openxmlformats.org/officeDocument/2006/relationships/hyperlink" Target="mailto:holusa.lukas@firmaabc.cz" TargetMode="External"/><Relationship Id="rId431" Type="http://schemas.openxmlformats.org/officeDocument/2006/relationships/hyperlink" Target="mailto:richter.jaroslav@firmaabc.cz" TargetMode="External"/><Relationship Id="rId473" Type="http://schemas.openxmlformats.org/officeDocument/2006/relationships/hyperlink" Target="mailto:bilkova.danuse@firmaabc.cz" TargetMode="External"/><Relationship Id="rId30" Type="http://schemas.openxmlformats.org/officeDocument/2006/relationships/hyperlink" Target="mailto:hovorka.vladimir@firmaabc.cz" TargetMode="External"/><Relationship Id="rId126" Type="http://schemas.openxmlformats.org/officeDocument/2006/relationships/hyperlink" Target="mailto:?prochazka.josef@firmaabc.cz" TargetMode="External"/><Relationship Id="rId168" Type="http://schemas.openxmlformats.org/officeDocument/2006/relationships/hyperlink" Target="mailto:vasickova.ruzena@firmaabc.cz" TargetMode="External"/><Relationship Id="rId333" Type="http://schemas.openxmlformats.org/officeDocument/2006/relationships/hyperlink" Target="mailto:taborska.danuska@firmaabc.cz" TargetMode="External"/><Relationship Id="rId72" Type="http://schemas.openxmlformats.org/officeDocument/2006/relationships/hyperlink" Target="mailto:?novak.martin@firmaabc.cz" TargetMode="External"/><Relationship Id="rId375" Type="http://schemas.openxmlformats.org/officeDocument/2006/relationships/hyperlink" Target="mailto:pospichal.ladislav@firmaabc.cz" TargetMode="External"/><Relationship Id="rId3" Type="http://schemas.openxmlformats.org/officeDocument/2006/relationships/hyperlink" Target="mailto:svoboda.vladimir@firmaabc.cz" TargetMode="External"/><Relationship Id="rId235" Type="http://schemas.openxmlformats.org/officeDocument/2006/relationships/hyperlink" Target="mailto:prazak.jiri@firmaabc.cz" TargetMode="External"/><Relationship Id="rId277" Type="http://schemas.openxmlformats.org/officeDocument/2006/relationships/hyperlink" Target="mailto:dedic.jiri@firmaabc.cz" TargetMode="External"/><Relationship Id="rId400" Type="http://schemas.openxmlformats.org/officeDocument/2006/relationships/hyperlink" Target="mailto:toman.viktor@firmaabc.cz" TargetMode="External"/><Relationship Id="rId442" Type="http://schemas.openxmlformats.org/officeDocument/2006/relationships/hyperlink" Target="mailto:fusek.frantisek@firmaabc.cz" TargetMode="External"/><Relationship Id="rId484" Type="http://schemas.openxmlformats.org/officeDocument/2006/relationships/hyperlink" Target="mailto:urbankova.bozena@firmaabc.cz" TargetMode="External"/><Relationship Id="rId137" Type="http://schemas.openxmlformats.org/officeDocument/2006/relationships/hyperlink" Target="mailto:straka.petr@firmaabc.cz" TargetMode="External"/><Relationship Id="rId302" Type="http://schemas.openxmlformats.org/officeDocument/2006/relationships/hyperlink" Target="mailto:stiborova.ema@firmaabc.cz" TargetMode="External"/><Relationship Id="rId344" Type="http://schemas.openxmlformats.org/officeDocument/2006/relationships/hyperlink" Target="mailto:mikula.marek@firmaabc.cz" TargetMode="External"/><Relationship Id="rId41" Type="http://schemas.openxmlformats.org/officeDocument/2006/relationships/hyperlink" Target="mailto:mullerova.veronika@firmaabc.cz" TargetMode="External"/><Relationship Id="rId83" Type="http://schemas.openxmlformats.org/officeDocument/2006/relationships/hyperlink" Target="mailto:polakova.silvie@firmaabc.cz" TargetMode="External"/><Relationship Id="rId179" Type="http://schemas.openxmlformats.org/officeDocument/2006/relationships/hyperlink" Target="mailto:horakova.eva@firmaabc.cz" TargetMode="External"/><Relationship Id="rId386" Type="http://schemas.openxmlformats.org/officeDocument/2006/relationships/hyperlink" Target="mailto:ondruch.miroslav@firmaabc.cz" TargetMode="External"/><Relationship Id="rId190" Type="http://schemas.openxmlformats.org/officeDocument/2006/relationships/hyperlink" Target="mailto:gavendova.jaroslava@firmaabc.cz" TargetMode="External"/><Relationship Id="rId204" Type="http://schemas.openxmlformats.org/officeDocument/2006/relationships/hyperlink" Target="mailto:knizek.emil@firmaabc.cz" TargetMode="External"/><Relationship Id="rId246" Type="http://schemas.openxmlformats.org/officeDocument/2006/relationships/hyperlink" Target="mailto:jelinek.martin@firmaabc.cz" TargetMode="External"/><Relationship Id="rId288" Type="http://schemas.openxmlformats.org/officeDocument/2006/relationships/hyperlink" Target="mailto:rak.oldrich@firmaabc.cz" TargetMode="External"/><Relationship Id="rId411" Type="http://schemas.openxmlformats.org/officeDocument/2006/relationships/hyperlink" Target="mailto:sadilkova.stella@firmaabc.cz" TargetMode="External"/><Relationship Id="rId453" Type="http://schemas.openxmlformats.org/officeDocument/2006/relationships/hyperlink" Target="mailto:dudova.dana@firmaabc.cz" TargetMode="External"/><Relationship Id="rId106" Type="http://schemas.openxmlformats.org/officeDocument/2006/relationships/hyperlink" Target="mailto:rapantova.jindriska@firmaabc.cz" TargetMode="External"/><Relationship Id="rId313" Type="http://schemas.openxmlformats.org/officeDocument/2006/relationships/hyperlink" Target="mailto:charvat.jiri@firmaabc.cz" TargetMode="External"/><Relationship Id="rId495" Type="http://schemas.openxmlformats.org/officeDocument/2006/relationships/hyperlink" Target="mailto:lavickova.jitka@firmaabc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3"/>
  <sheetViews>
    <sheetView tabSelected="1" workbookViewId="0">
      <selection activeCell="M13" sqref="M13"/>
    </sheetView>
  </sheetViews>
  <sheetFormatPr defaultRowHeight="15" x14ac:dyDescent="0.25"/>
  <cols>
    <col min="1" max="1" width="27" customWidth="1"/>
    <col min="2" max="2" width="11.85546875" customWidth="1"/>
    <col min="3" max="3" width="10.42578125" customWidth="1"/>
    <col min="4" max="4" width="17.28515625" customWidth="1"/>
    <col min="5" max="5" width="18.42578125" customWidth="1"/>
    <col min="6" max="6" width="11.7109375" customWidth="1"/>
    <col min="7" max="7" width="11.28515625" customWidth="1"/>
    <col min="8" max="8" width="31.5703125" bestFit="1" customWidth="1"/>
    <col min="10" max="10" width="11.140625" customWidth="1"/>
    <col min="11" max="11" width="12" customWidth="1"/>
    <col min="12" max="12" width="33.28515625" bestFit="1" customWidth="1"/>
    <col min="13" max="13" width="9.140625" customWidth="1"/>
    <col min="14" max="14" width="8.85546875" customWidth="1"/>
    <col min="17" max="17" width="180.7109375" customWidth="1"/>
  </cols>
  <sheetData>
    <row r="1" spans="1:12" ht="23.25" x14ac:dyDescent="0.35">
      <c r="A1" s="1" t="s">
        <v>0</v>
      </c>
    </row>
    <row r="3" spans="1:12" x14ac:dyDescent="0.25">
      <c r="A3" s="2" t="s">
        <v>1</v>
      </c>
      <c r="B3" s="2" t="s">
        <v>2</v>
      </c>
      <c r="C3" s="2" t="s">
        <v>3</v>
      </c>
      <c r="D3" s="2" t="s">
        <v>1120</v>
      </c>
      <c r="E3" s="2" t="s">
        <v>1121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1139</v>
      </c>
      <c r="K3" s="2" t="s">
        <v>2010</v>
      </c>
      <c r="L3" s="2" t="s">
        <v>2012</v>
      </c>
    </row>
    <row r="4" spans="1:12" ht="45" x14ac:dyDescent="0.25">
      <c r="A4" s="2" t="s">
        <v>8</v>
      </c>
      <c r="B4" t="s">
        <v>9</v>
      </c>
      <c r="C4" t="s">
        <v>10</v>
      </c>
      <c r="D4" t="str">
        <f>TRIM(Tabulka1[[#This Row],[Jméno]])</f>
        <v>Karel</v>
      </c>
      <c r="E4" t="str">
        <f>TRIM(Tabulka1[[#This Row],[Příjmení]])</f>
        <v>Albert</v>
      </c>
      <c r="F4" s="2" t="str">
        <f>MID(Tabulka1[[#This Row],[Adresa]],1,SEARCH(",",Tabulka1[[#This Row],[Adresa]])-1)</f>
        <v>U Sokolovny 1181</v>
      </c>
      <c r="G4" s="2" t="str">
        <f>RIGHT(Tabulka1[[#This Row],[Adresa]],LEN(Tabulka1[[#This Row],[Adresa]])-LEN(Tabulka1[[#This Row],[Ulice]])-1)</f>
        <v>Železnice</v>
      </c>
      <c r="H4" s="2" t="str">
        <f>_xlfn.CONCAT(LOWER(Tabulka1[[#This Row],[příjmení bez mezer]]),".",LOWER(Tabulka1[[#This Row],[Jmeno bez mezer]]),"@firmaabc.cz")</f>
        <v>albert.karel@firmaabc.cz</v>
      </c>
      <c r="I4" s="2" t="str">
        <f>_xlfn.CONCAT(LOWER(LEFT(Tabulka1[[#This Row],[příjmení bez mezer]],3)),UPPER(RIGHT(Tabulka1[[#This Row],[Jmeno bez mezer]],2)))</f>
        <v>albEL</v>
      </c>
      <c r="J4" s="2" t="s">
        <v>1122</v>
      </c>
      <c r="K4" s="2" t="s">
        <v>1623</v>
      </c>
      <c r="L4" s="3" t="s">
        <v>2013</v>
      </c>
    </row>
    <row r="5" spans="1:12" ht="60" x14ac:dyDescent="0.25">
      <c r="A5" s="2" t="s">
        <v>11</v>
      </c>
      <c r="B5" t="s">
        <v>12</v>
      </c>
      <c r="C5" t="s">
        <v>13</v>
      </c>
      <c r="D5" t="str">
        <f>TRIM(Tabulka1[[#This Row],[Jméno]])</f>
        <v>Martina</v>
      </c>
      <c r="E5" t="str">
        <f>TRIM(Tabulka1[[#This Row],[Příjmení]])</f>
        <v>Capkova</v>
      </c>
      <c r="F5" s="2" t="str">
        <f>MID(Tabulka1[[#This Row],[Adresa]],1,SEARCH(",",Tabulka1[[#This Row],[Adresa]])-1)</f>
        <v>Stožická 92</v>
      </c>
      <c r="G5" s="2" t="str">
        <f>RIGHT(Tabulka1[[#This Row],[Adresa]],LEN(Tabulka1[[#This Row],[Adresa]])-LEN(Tabulka1[[#This Row],[Ulice]])-1)</f>
        <v>Vodnany</v>
      </c>
      <c r="H5" s="2" t="str">
        <f>_xlfn.CONCAT(LOWER(Tabulka1[[#This Row],[příjmení bez mezer]]),".",LOWER(Tabulka1[[#This Row],[Jmeno bez mezer]]),"@firmaabc.cz")</f>
        <v>capkova.martina@firmaabc.cz</v>
      </c>
      <c r="I5" s="2" t="str">
        <f>_xlfn.CONCAT(LOWER(LEFT(Tabulka1[[#This Row],[příjmení bez mezer]],3)),UPPER(RIGHT(Tabulka1[[#This Row],[Jmeno bez mezer]],2)))</f>
        <v>capNA</v>
      </c>
      <c r="J5" s="2" t="s">
        <v>1123</v>
      </c>
      <c r="K5" s="2" t="s">
        <v>2011</v>
      </c>
      <c r="L5" s="3" t="s">
        <v>2014</v>
      </c>
    </row>
    <row r="6" spans="1:12" ht="60" x14ac:dyDescent="0.25">
      <c r="A6" s="2" t="s">
        <v>14</v>
      </c>
      <c r="B6" t="s">
        <v>15</v>
      </c>
      <c r="C6" t="s">
        <v>16</v>
      </c>
      <c r="D6" t="str">
        <f>TRIM(Tabulka1[[#This Row],[Jméno]])</f>
        <v>Vladimir</v>
      </c>
      <c r="E6" t="str">
        <f>TRIM(Tabulka1[[#This Row],[Příjmení]])</f>
        <v>Svoboda</v>
      </c>
      <c r="F6" s="2" t="str">
        <f>MID(Tabulka1[[#This Row],[Adresa]],1,SEARCH(",",Tabulka1[[#This Row],[Adresa]])-1)</f>
        <v>U divadla 1031</v>
      </c>
      <c r="G6" s="2" t="str">
        <f>RIGHT(Tabulka1[[#This Row],[Adresa]],LEN(Tabulka1[[#This Row],[Adresa]])-LEN(Tabulka1[[#This Row],[Ulice]])-1)</f>
        <v>Polepy</v>
      </c>
      <c r="H6" s="2" t="str">
        <f>_xlfn.CONCAT(LOWER(Tabulka1[[#This Row],[příjmení bez mezer]]),".",LOWER(Tabulka1[[#This Row],[Jmeno bez mezer]]),"@firmaabc.cz")</f>
        <v>svoboda.vladimir@firmaabc.cz</v>
      </c>
      <c r="I6" s="2" t="str">
        <f>_xlfn.CONCAT(LOWER(LEFT(Tabulka1[[#This Row],[příjmení bez mezer]],3)),UPPER(RIGHT(Tabulka1[[#This Row],[Jmeno bez mezer]],2)))</f>
        <v>svoIR</v>
      </c>
      <c r="J6" s="2" t="s">
        <v>1124</v>
      </c>
      <c r="K6" s="2" t="s">
        <v>1625</v>
      </c>
      <c r="L6" s="3" t="s">
        <v>2015</v>
      </c>
    </row>
    <row r="7" spans="1:12" ht="45" x14ac:dyDescent="0.25">
      <c r="A7" s="2" t="s">
        <v>17</v>
      </c>
      <c r="B7" t="s">
        <v>18</v>
      </c>
      <c r="C7" t="s">
        <v>19</v>
      </c>
      <c r="D7" t="str">
        <f>TRIM(Tabulka1[[#This Row],[Jméno]])</f>
        <v>Lumir</v>
      </c>
      <c r="E7" t="str">
        <f>TRIM(Tabulka1[[#This Row],[Příjmení]])</f>
        <v>Holy</v>
      </c>
      <c r="F7" s="2" t="str">
        <f>MID(Tabulka1[[#This Row],[Adresa]],1,SEARCH(",",Tabulka1[[#This Row],[Adresa]])-1)</f>
        <v>Žižkova 522</v>
      </c>
      <c r="G7" s="2" t="str">
        <f>RIGHT(Tabulka1[[#This Row],[Adresa]],LEN(Tabulka1[[#This Row],[Adresa]])-LEN(Tabulka1[[#This Row],[Ulice]])-1)</f>
        <v>Bedihošt</v>
      </c>
      <c r="H7" s="2" t="str">
        <f>_xlfn.CONCAT(LOWER(Tabulka1[[#This Row],[příjmení bez mezer]]),".",LOWER(Tabulka1[[#This Row],[Jmeno bez mezer]]),"@firmaabc.cz")</f>
        <v>holy.lumir@firmaabc.cz</v>
      </c>
      <c r="I7" s="2" t="str">
        <f>_xlfn.CONCAT(LOWER(LEFT(Tabulka1[[#This Row],[příjmení bez mezer]],3)),UPPER(RIGHT(Tabulka1[[#This Row],[Jmeno bez mezer]],2)))</f>
        <v>holIR</v>
      </c>
      <c r="J7" s="2" t="s">
        <v>1125</v>
      </c>
      <c r="K7" s="2" t="s">
        <v>1626</v>
      </c>
      <c r="L7" s="3" t="s">
        <v>2016</v>
      </c>
    </row>
    <row r="8" spans="1:12" ht="60" x14ac:dyDescent="0.25">
      <c r="A8" s="2" t="s">
        <v>20</v>
      </c>
      <c r="B8" t="s">
        <v>21</v>
      </c>
      <c r="C8" t="s">
        <v>22</v>
      </c>
      <c r="D8" t="str">
        <f>TRIM(Tabulka1[[#This Row],[Jméno]])</f>
        <v>Kvetoslava</v>
      </c>
      <c r="E8" t="str">
        <f>TRIM(Tabulka1[[#This Row],[Příjmení]])</f>
        <v>Mikesova</v>
      </c>
      <c r="F8" s="2" t="str">
        <f>MID(Tabulka1[[#This Row],[Adresa]],1,SEARCH(",",Tabulka1[[#This Row],[Adresa]])-1)</f>
        <v>Louny 1995</v>
      </c>
      <c r="G8" s="2" t="str">
        <f>RIGHT(Tabulka1[[#This Row],[Adresa]],LEN(Tabulka1[[#This Row],[Adresa]])-LEN(Tabulka1[[#This Row],[Ulice]])-1)</f>
        <v>Louny 1</v>
      </c>
      <c r="H8" s="2" t="str">
        <f>_xlfn.CONCAT(LOWER(Tabulka1[[#This Row],[příjmení bez mezer]]),".",LOWER(Tabulka1[[#This Row],[Jmeno bez mezer]]),"@firmaabc.cz")</f>
        <v>mikesova.kvetoslava@firmaabc.cz</v>
      </c>
      <c r="I8" s="2" t="str">
        <f>_xlfn.CONCAT(LOWER(LEFT(Tabulka1[[#This Row],[příjmení bez mezer]],3)),UPPER(RIGHT(Tabulka1[[#This Row],[Jmeno bez mezer]],2)))</f>
        <v>mikVA</v>
      </c>
      <c r="J8" s="2" t="s">
        <v>1126</v>
      </c>
      <c r="K8" s="2" t="s">
        <v>1627</v>
      </c>
      <c r="L8" s="3" t="s">
        <v>2017</v>
      </c>
    </row>
    <row r="9" spans="1:12" ht="45" x14ac:dyDescent="0.25">
      <c r="A9" s="2" t="s">
        <v>23</v>
      </c>
      <c r="B9" t="s">
        <v>24</v>
      </c>
      <c r="C9" t="s">
        <v>25</v>
      </c>
      <c r="D9" t="str">
        <f>TRIM(Tabulka1[[#This Row],[Jméno]])</f>
        <v>Jan</v>
      </c>
      <c r="E9" t="str">
        <f>TRIM(Tabulka1[[#This Row],[Příjmení]])</f>
        <v>Glogar</v>
      </c>
      <c r="F9" s="2" t="str">
        <f>MID(Tabulka1[[#This Row],[Adresa]],1,SEARCH(",",Tabulka1[[#This Row],[Adresa]])-1)</f>
        <v>Suhrady 1971</v>
      </c>
      <c r="G9" s="2" t="str">
        <f>RIGHT(Tabulka1[[#This Row],[Adresa]],LEN(Tabulka1[[#This Row],[Adresa]])-LEN(Tabulka1[[#This Row],[Ulice]])-1)</f>
        <v>Darkovice</v>
      </c>
      <c r="H9" s="2" t="str">
        <f>_xlfn.CONCAT(LOWER(Tabulka1[[#This Row],[příjmení bez mezer]]),".",LOWER(Tabulka1[[#This Row],[Jmeno bez mezer]]),"@firmaabc.cz")</f>
        <v>glogar.jan@firmaabc.cz</v>
      </c>
      <c r="I9" s="2" t="str">
        <f>_xlfn.CONCAT(LOWER(LEFT(Tabulka1[[#This Row],[příjmení bez mezer]],3)),UPPER(RIGHT(Tabulka1[[#This Row],[Jmeno bez mezer]],2)))</f>
        <v>gloAN</v>
      </c>
      <c r="J9" s="2" t="s">
        <v>1127</v>
      </c>
      <c r="K9" s="2" t="s">
        <v>1628</v>
      </c>
      <c r="L9" s="3" t="s">
        <v>2018</v>
      </c>
    </row>
    <row r="10" spans="1:12" ht="60" x14ac:dyDescent="0.25">
      <c r="A10" s="2" t="s">
        <v>26</v>
      </c>
      <c r="B10" t="s">
        <v>27</v>
      </c>
      <c r="C10" t="s">
        <v>28</v>
      </c>
      <c r="D10" t="str">
        <f>TRIM(Tabulka1[[#This Row],[Jméno]])</f>
        <v>Jana</v>
      </c>
      <c r="E10" t="str">
        <f>TRIM(Tabulka1[[#This Row],[Příjmení]])</f>
        <v>Zelnickova</v>
      </c>
      <c r="F10" s="2" t="str">
        <f>MID(Tabulka1[[#This Row],[Adresa]],1,SEARCH(",",Tabulka1[[#This Row],[Adresa]])-1)</f>
        <v>Vrchlického 1153</v>
      </c>
      <c r="G10" s="2" t="str">
        <f>RIGHT(Tabulka1[[#This Row],[Adresa]],LEN(Tabulka1[[#This Row],[Adresa]])-LEN(Tabulka1[[#This Row],[Ulice]])-1)</f>
        <v>Znojmo 2</v>
      </c>
      <c r="H10" s="2" t="str">
        <f>_xlfn.CONCAT(LOWER(Tabulka1[[#This Row],[příjmení bez mezer]]),".",LOWER(Tabulka1[[#This Row],[Jmeno bez mezer]]),"@firmaabc.cz")</f>
        <v>zelnickova.jana@firmaabc.cz</v>
      </c>
      <c r="I10" s="2" t="str">
        <f>_xlfn.CONCAT(LOWER(LEFT(Tabulka1[[#This Row],[příjmení bez mezer]],3)),UPPER(RIGHT(Tabulka1[[#This Row],[Jmeno bez mezer]],2)))</f>
        <v>zelNA</v>
      </c>
      <c r="J10" s="2" t="s">
        <v>1128</v>
      </c>
      <c r="K10" s="2" t="s">
        <v>1629</v>
      </c>
      <c r="L10" s="3" t="s">
        <v>2019</v>
      </c>
    </row>
    <row r="11" spans="1:12" ht="60" x14ac:dyDescent="0.25">
      <c r="A11" s="2" t="s">
        <v>29</v>
      </c>
      <c r="B11" t="s">
        <v>30</v>
      </c>
      <c r="C11" t="s">
        <v>31</v>
      </c>
      <c r="D11" t="str">
        <f>TRIM(Tabulka1[[#This Row],[Jméno]])</f>
        <v>Michal</v>
      </c>
      <c r="E11" t="str">
        <f>TRIM(Tabulka1[[#This Row],[Příjmení]])</f>
        <v>Kopecek</v>
      </c>
      <c r="F11" s="2" t="str">
        <f>MID(Tabulka1[[#This Row],[Adresa]],1,SEARCH(",",Tabulka1[[#This Row],[Adresa]])-1)</f>
        <v>Školní 713</v>
      </c>
      <c r="G11" s="2" t="str">
        <f>RIGHT(Tabulka1[[#This Row],[Adresa]],LEN(Tabulka1[[#This Row],[Adresa]])-LEN(Tabulka1[[#This Row],[Ulice]])-1)</f>
        <v>Kaplice 1</v>
      </c>
      <c r="H11" s="2" t="str">
        <f>_xlfn.CONCAT(LOWER(Tabulka1[[#This Row],[příjmení bez mezer]]),".",LOWER(Tabulka1[[#This Row],[Jmeno bez mezer]]),"@firmaabc.cz")</f>
        <v>kopecek.michal@firmaabc.cz</v>
      </c>
      <c r="I11" s="2" t="str">
        <f>_xlfn.CONCAT(LOWER(LEFT(Tabulka1[[#This Row],[příjmení bez mezer]],3)),UPPER(RIGHT(Tabulka1[[#This Row],[Jmeno bez mezer]],2)))</f>
        <v>kopAL</v>
      </c>
      <c r="J11" s="2" t="s">
        <v>1129</v>
      </c>
      <c r="K11" s="2" t="s">
        <v>1630</v>
      </c>
      <c r="L11" s="3" t="s">
        <v>2020</v>
      </c>
    </row>
    <row r="12" spans="1:12" ht="60" x14ac:dyDescent="0.25">
      <c r="A12" s="2" t="s">
        <v>32</v>
      </c>
      <c r="B12" t="s">
        <v>33</v>
      </c>
      <c r="C12" t="s">
        <v>34</v>
      </c>
      <c r="D12" t="str">
        <f>TRIM(Tabulka1[[#This Row],[Jméno]])</f>
        <v>Karolina</v>
      </c>
      <c r="E12" t="str">
        <f>TRIM(Tabulka1[[#This Row],[Příjmení]])</f>
        <v>Haklova</v>
      </c>
      <c r="F12" s="2" t="str">
        <f>MID(Tabulka1[[#This Row],[Adresa]],1,SEARCH(",",Tabulka1[[#This Row],[Adresa]])-1)</f>
        <v>Prokopská 1442</v>
      </c>
      <c r="G12" s="2" t="str">
        <f>RIGHT(Tabulka1[[#This Row],[Adresa]],LEN(Tabulka1[[#This Row],[Adresa]])-LEN(Tabulka1[[#This Row],[Ulice]])-1)</f>
        <v>Nová Ves pod Pleší</v>
      </c>
      <c r="H12" s="2" t="str">
        <f>_xlfn.CONCAT(LOWER(Tabulka1[[#This Row],[příjmení bez mezer]]),".",LOWER(Tabulka1[[#This Row],[Jmeno bez mezer]]),"@firmaabc.cz")</f>
        <v>haklova.karolina@firmaabc.cz</v>
      </c>
      <c r="I12" s="2" t="str">
        <f>_xlfn.CONCAT(LOWER(LEFT(Tabulka1[[#This Row],[příjmení bez mezer]],3)),UPPER(RIGHT(Tabulka1[[#This Row],[Jmeno bez mezer]],2)))</f>
        <v>hakNA</v>
      </c>
      <c r="J12" s="2" t="s">
        <v>1130</v>
      </c>
      <c r="K12" s="2" t="s">
        <v>1631</v>
      </c>
      <c r="L12" s="3" t="s">
        <v>2021</v>
      </c>
    </row>
    <row r="13" spans="1:12" ht="60" x14ac:dyDescent="0.25">
      <c r="A13" s="2" t="s">
        <v>35</v>
      </c>
      <c r="B13" t="s">
        <v>36</v>
      </c>
      <c r="C13" t="s">
        <v>37</v>
      </c>
      <c r="D13" t="str">
        <f>TRIM(Tabulka1[[#This Row],[Jméno]])</f>
        <v>Miroslava</v>
      </c>
      <c r="E13" t="str">
        <f>TRIM(Tabulka1[[#This Row],[Příjmení]])</f>
        <v>Steflova</v>
      </c>
      <c r="F13" s="2" t="str">
        <f>MID(Tabulka1[[#This Row],[Adresa]],1,SEARCH(",",Tabulka1[[#This Row],[Adresa]])-1)</f>
        <v>Žižkova 1118</v>
      </c>
      <c r="G13" s="2" t="str">
        <f>RIGHT(Tabulka1[[#This Row],[Adresa]],LEN(Tabulka1[[#This Row],[Adresa]])-LEN(Tabulka1[[#This Row],[Ulice]])-1)</f>
        <v>Kralice na Hané</v>
      </c>
      <c r="H13" s="2" t="str">
        <f>_xlfn.CONCAT(LOWER(Tabulka1[[#This Row],[příjmení bez mezer]]),".",LOWER(Tabulka1[[#This Row],[Jmeno bez mezer]]),"@firmaabc.cz")</f>
        <v>steflova.miroslava@firmaabc.cz</v>
      </c>
      <c r="I13" s="2" t="str">
        <f>_xlfn.CONCAT(LOWER(LEFT(Tabulka1[[#This Row],[příjmení bez mezer]],3)),UPPER(RIGHT(Tabulka1[[#This Row],[Jmeno bez mezer]],2)))</f>
        <v>steVA</v>
      </c>
      <c r="J13" s="2" t="s">
        <v>1131</v>
      </c>
      <c r="K13" s="2" t="s">
        <v>1632</v>
      </c>
      <c r="L13" s="3" t="s">
        <v>2022</v>
      </c>
    </row>
    <row r="14" spans="1:12" ht="60" x14ac:dyDescent="0.25">
      <c r="A14" s="2" t="s">
        <v>38</v>
      </c>
      <c r="B14" t="s">
        <v>39</v>
      </c>
      <c r="C14" t="s">
        <v>40</v>
      </c>
      <c r="D14" t="str">
        <f>TRIM(Tabulka1[[#This Row],[Jméno]])</f>
        <v>Ivana</v>
      </c>
      <c r="E14" t="str">
        <f>TRIM(Tabulka1[[#This Row],[Příjmení]])</f>
        <v>Reichova</v>
      </c>
      <c r="F14" s="2" t="str">
        <f>MID(Tabulka1[[#This Row],[Adresa]],1,SEARCH(",",Tabulka1[[#This Row],[Adresa]])-1)</f>
        <v>Palackého 502</v>
      </c>
      <c r="G14" s="2" t="str">
        <f>RIGHT(Tabulka1[[#This Row],[Adresa]],LEN(Tabulka1[[#This Row],[Adresa]])-LEN(Tabulka1[[#This Row],[Ulice]])-1)</f>
        <v>Rajnochovice</v>
      </c>
      <c r="H14" s="2" t="str">
        <f>_xlfn.CONCAT(LOWER(Tabulka1[[#This Row],[příjmení bez mezer]]),".",LOWER(Tabulka1[[#This Row],[Jmeno bez mezer]]),"@firmaabc.cz")</f>
        <v>reichova.ivana@firmaabc.cz</v>
      </c>
      <c r="I14" s="2" t="str">
        <f>_xlfn.CONCAT(LOWER(LEFT(Tabulka1[[#This Row],[příjmení bez mezer]],3)),UPPER(RIGHT(Tabulka1[[#This Row],[Jmeno bez mezer]],2)))</f>
        <v>reiNA</v>
      </c>
      <c r="J14" s="2" t="s">
        <v>1132</v>
      </c>
      <c r="K14" s="2" t="s">
        <v>1633</v>
      </c>
      <c r="L14" s="3" t="s">
        <v>2023</v>
      </c>
    </row>
    <row r="15" spans="1:12" ht="60" x14ac:dyDescent="0.25">
      <c r="A15" s="2" t="s">
        <v>41</v>
      </c>
      <c r="B15" t="s">
        <v>42</v>
      </c>
      <c r="C15" t="s">
        <v>43</v>
      </c>
      <c r="D15" t="str">
        <f>TRIM(Tabulka1[[#This Row],[Jméno]])</f>
        <v>Marie</v>
      </c>
      <c r="E15" t="str">
        <f>TRIM(Tabulka1[[#This Row],[Příjmení]])</f>
        <v>Vymazalova</v>
      </c>
      <c r="F15" s="2" t="str">
        <f>MID(Tabulka1[[#This Row],[Adresa]],1,SEARCH(",",Tabulka1[[#This Row],[Adresa]])-1)</f>
        <v>Dašická 1048</v>
      </c>
      <c r="G15" s="2" t="str">
        <f>RIGHT(Tabulka1[[#This Row],[Adresa]],LEN(Tabulka1[[#This Row],[Adresa]])-LEN(Tabulka1[[#This Row],[Ulice]])-1)</f>
        <v>Holice v Cechách</v>
      </c>
      <c r="H15" s="2" t="str">
        <f>_xlfn.CONCAT(LOWER(Tabulka1[[#This Row],[příjmení bez mezer]]),".",LOWER(Tabulka1[[#This Row],[Jmeno bez mezer]]),"@firmaabc.cz")</f>
        <v>vymazalova.marie@firmaabc.cz</v>
      </c>
      <c r="I15" s="2" t="str">
        <f>_xlfn.CONCAT(LOWER(LEFT(Tabulka1[[#This Row],[příjmení bez mezer]],3)),UPPER(RIGHT(Tabulka1[[#This Row],[Jmeno bez mezer]],2)))</f>
        <v>vymIE</v>
      </c>
      <c r="J15" s="2" t="s">
        <v>1133</v>
      </c>
      <c r="K15" s="2" t="s">
        <v>1634</v>
      </c>
      <c r="L15" s="3" t="s">
        <v>2024</v>
      </c>
    </row>
    <row r="16" spans="1:12" ht="45" x14ac:dyDescent="0.25">
      <c r="A16" s="2" t="s">
        <v>44</v>
      </c>
      <c r="B16" t="s">
        <v>45</v>
      </c>
      <c r="C16" t="s">
        <v>46</v>
      </c>
      <c r="D16" t="str">
        <f>TRIM(Tabulka1[[#This Row],[Jméno]])</f>
        <v>Tomas</v>
      </c>
      <c r="E16" t="str">
        <f>TRIM(Tabulka1[[#This Row],[Příjmení]])</f>
        <v>Kubes</v>
      </c>
      <c r="F16" s="2" t="str">
        <f>MID(Tabulka1[[#This Row],[Adresa]],1,SEARCH(",",Tabulka1[[#This Row],[Adresa]])-1)</f>
        <v>Rvačov 1251</v>
      </c>
      <c r="G16" s="2" t="str">
        <f>RIGHT(Tabulka1[[#This Row],[Adresa]],LEN(Tabulka1[[#This Row],[Adresa]])-LEN(Tabulka1[[#This Row],[Ulice]])-1)</f>
        <v>Roudnice nad Labem</v>
      </c>
      <c r="H16" s="2" t="str">
        <f>_xlfn.CONCAT(LOWER(Tabulka1[[#This Row],[příjmení bez mezer]]),".",LOWER(Tabulka1[[#This Row],[Jmeno bez mezer]]),"@firmaabc.cz")</f>
        <v>kubes.tomas@firmaabc.cz</v>
      </c>
      <c r="I16" s="2" t="str">
        <f>_xlfn.CONCAT(LOWER(LEFT(Tabulka1[[#This Row],[příjmení bez mezer]],3)),UPPER(RIGHT(Tabulka1[[#This Row],[Jmeno bez mezer]],2)))</f>
        <v>kubAS</v>
      </c>
      <c r="J16" s="2" t="s">
        <v>1134</v>
      </c>
      <c r="K16" s="2" t="s">
        <v>1635</v>
      </c>
      <c r="L16" s="3" t="s">
        <v>2025</v>
      </c>
    </row>
    <row r="17" spans="1:12" ht="60" x14ac:dyDescent="0.25">
      <c r="A17" s="2" t="s">
        <v>47</v>
      </c>
      <c r="B17" t="s">
        <v>42</v>
      </c>
      <c r="C17" t="s">
        <v>48</v>
      </c>
      <c r="D17" t="str">
        <f>TRIM(Tabulka1[[#This Row],[Jméno]])</f>
        <v>Marie</v>
      </c>
      <c r="E17" t="str">
        <f>TRIM(Tabulka1[[#This Row],[Příjmení]])</f>
        <v>Kupska</v>
      </c>
      <c r="F17" s="2" t="str">
        <f>MID(Tabulka1[[#This Row],[Adresa]],1,SEARCH(",",Tabulka1[[#This Row],[Adresa]])-1)</f>
        <v>Petrželka 1864</v>
      </c>
      <c r="G17" s="2" t="str">
        <f>RIGHT(Tabulka1[[#This Row],[Adresa]],LEN(Tabulka1[[#This Row],[Adresa]])-LEN(Tabulka1[[#This Row],[Ulice]])-1)</f>
        <v>Kromeríž 1</v>
      </c>
      <c r="H17" s="2" t="str">
        <f>_xlfn.CONCAT(LOWER(Tabulka1[[#This Row],[příjmení bez mezer]]),".",LOWER(Tabulka1[[#This Row],[Jmeno bez mezer]]),"@firmaabc.cz")</f>
        <v>kupska.marie@firmaabc.cz</v>
      </c>
      <c r="I17" s="2" t="str">
        <f>_xlfn.CONCAT(LOWER(LEFT(Tabulka1[[#This Row],[příjmení bez mezer]],3)),UPPER(RIGHT(Tabulka1[[#This Row],[Jmeno bez mezer]],2)))</f>
        <v>kupIE</v>
      </c>
      <c r="J17" s="2" t="s">
        <v>1135</v>
      </c>
      <c r="K17" s="2" t="s">
        <v>1636</v>
      </c>
      <c r="L17" s="3" t="s">
        <v>2026</v>
      </c>
    </row>
    <row r="18" spans="1:12" ht="60" x14ac:dyDescent="0.25">
      <c r="A18" s="2" t="s">
        <v>49</v>
      </c>
      <c r="B18" t="s">
        <v>50</v>
      </c>
      <c r="C18" t="s">
        <v>51</v>
      </c>
      <c r="D18" t="str">
        <f>TRIM(Tabulka1[[#This Row],[Jméno]])</f>
        <v>Ludmila</v>
      </c>
      <c r="E18" t="str">
        <f>TRIM(Tabulka1[[#This Row],[Příjmení]])</f>
        <v>Norkova</v>
      </c>
      <c r="F18" s="2" t="str">
        <f>MID(Tabulka1[[#This Row],[Adresa]],1,SEARCH(",",Tabulka1[[#This Row],[Adresa]])-1)</f>
        <v>Ke hřišti 859</v>
      </c>
      <c r="G18" s="2" t="str">
        <f>RIGHT(Tabulka1[[#This Row],[Adresa]],LEN(Tabulka1[[#This Row],[Adresa]])-LEN(Tabulka1[[#This Row],[Ulice]])-1)</f>
        <v>Zásmuky</v>
      </c>
      <c r="H18" s="2" t="str">
        <f>_xlfn.CONCAT(LOWER(Tabulka1[[#This Row],[příjmení bez mezer]]),".",LOWER(Tabulka1[[#This Row],[Jmeno bez mezer]]),"@firmaabc.cz")</f>
        <v>norkova.ludmila@firmaabc.cz</v>
      </c>
      <c r="I18" s="2" t="str">
        <f>_xlfn.CONCAT(LOWER(LEFT(Tabulka1[[#This Row],[příjmení bez mezer]],3)),UPPER(RIGHT(Tabulka1[[#This Row],[Jmeno bez mezer]],2)))</f>
        <v>norLA</v>
      </c>
      <c r="J18" s="2" t="s">
        <v>1136</v>
      </c>
      <c r="K18" s="2" t="s">
        <v>1637</v>
      </c>
      <c r="L18" s="3" t="s">
        <v>2027</v>
      </c>
    </row>
    <row r="19" spans="1:12" ht="60" x14ac:dyDescent="0.25">
      <c r="A19" s="2" t="s">
        <v>52</v>
      </c>
      <c r="B19" t="s">
        <v>53</v>
      </c>
      <c r="C19" t="s">
        <v>54</v>
      </c>
      <c r="D19" t="str">
        <f>TRIM(Tabulka1[[#This Row],[Jméno]])</f>
        <v>Miroslav</v>
      </c>
      <c r="E19" t="str">
        <f>TRIM(Tabulka1[[#This Row],[Příjmení]])</f>
        <v>Stanek</v>
      </c>
      <c r="F19" s="2" t="str">
        <f>MID(Tabulka1[[#This Row],[Adresa]],1,SEARCH(",",Tabulka1[[#This Row],[Adresa]])-1)</f>
        <v>Vostelčická 396</v>
      </c>
      <c r="G19" s="2" t="str">
        <f>RIGHT(Tabulka1[[#This Row],[Adresa]],LEN(Tabulka1[[#This Row],[Adresa]])-LEN(Tabulka1[[#This Row],[Ulice]])-1)</f>
        <v>Vysoké Mýto</v>
      </c>
      <c r="H19" s="2" t="str">
        <f>_xlfn.CONCAT(LOWER(Tabulka1[[#This Row],[příjmení bez mezer]]),".",LOWER(Tabulka1[[#This Row],[Jmeno bez mezer]]),"@firmaabc.cz")</f>
        <v>stanek.miroslav@firmaabc.cz</v>
      </c>
      <c r="I19" s="2" t="str">
        <f>_xlfn.CONCAT(LOWER(LEFT(Tabulka1[[#This Row],[příjmení bez mezer]],3)),UPPER(RIGHT(Tabulka1[[#This Row],[Jmeno bez mezer]],2)))</f>
        <v>staAV</v>
      </c>
      <c r="J19" s="2" t="s">
        <v>1137</v>
      </c>
      <c r="K19" s="2" t="s">
        <v>1638</v>
      </c>
      <c r="L19" s="3" t="s">
        <v>2028</v>
      </c>
    </row>
    <row r="20" spans="1:12" ht="60" x14ac:dyDescent="0.25">
      <c r="A20" s="2" t="s">
        <v>55</v>
      </c>
      <c r="B20" t="s">
        <v>15</v>
      </c>
      <c r="C20" t="s">
        <v>56</v>
      </c>
      <c r="D20" t="str">
        <f>TRIM(Tabulka1[[#This Row],[Jméno]])</f>
        <v>Vladimir</v>
      </c>
      <c r="E20" t="str">
        <f>TRIM(Tabulka1[[#This Row],[Příjmení]])</f>
        <v>Jedlicka</v>
      </c>
      <c r="F20" s="2" t="str">
        <f>MID(Tabulka1[[#This Row],[Adresa]],1,SEARCH(",",Tabulka1[[#This Row],[Adresa]])-1)</f>
        <v>Sídliště Za Chlumem 1599</v>
      </c>
      <c r="G20" s="2" t="str">
        <f>RIGHT(Tabulka1[[#This Row],[Adresa]],LEN(Tabulka1[[#This Row],[Adresa]])-LEN(Tabulka1[[#This Row],[Ulice]])-1)</f>
        <v>Bílina 4</v>
      </c>
      <c r="H20" s="2" t="str">
        <f>_xlfn.CONCAT(LOWER(Tabulka1[[#This Row],[příjmení bez mezer]]),".",LOWER(Tabulka1[[#This Row],[Jmeno bez mezer]]),"@firmaabc.cz")</f>
        <v>jedlicka.vladimir@firmaabc.cz</v>
      </c>
      <c r="I20" s="2" t="str">
        <f>_xlfn.CONCAT(LOWER(LEFT(Tabulka1[[#This Row],[příjmení bez mezer]],3)),UPPER(RIGHT(Tabulka1[[#This Row],[Jmeno bez mezer]],2)))</f>
        <v>jedIR</v>
      </c>
      <c r="J20" s="2" t="s">
        <v>1138</v>
      </c>
      <c r="K20" s="2" t="s">
        <v>1639</v>
      </c>
      <c r="L20" s="3" t="s">
        <v>2029</v>
      </c>
    </row>
    <row r="21" spans="1:12" ht="60" x14ac:dyDescent="0.25">
      <c r="A21" s="2" t="s">
        <v>57</v>
      </c>
      <c r="B21" t="s">
        <v>58</v>
      </c>
      <c r="C21" t="s">
        <v>59</v>
      </c>
      <c r="D21" t="str">
        <f>TRIM(Tabulka1[[#This Row],[Jméno]])</f>
        <v>Natalie</v>
      </c>
      <c r="E21" t="str">
        <f>TRIM(Tabulka1[[#This Row],[Příjmení]])</f>
        <v>Fiserova</v>
      </c>
      <c r="F21" s="2" t="str">
        <f>MID(Tabulka1[[#This Row],[Adresa]],1,SEARCH(",",Tabulka1[[#This Row],[Adresa]])-1)</f>
        <v>Strojírenská 1481</v>
      </c>
      <c r="G21" s="2" t="str">
        <f>RIGHT(Tabulka1[[#This Row],[Adresa]],LEN(Tabulka1[[#This Row],[Adresa]])-LEN(Tabulka1[[#This Row],[Ulice]])-1)</f>
        <v>Velká Losenice</v>
      </c>
      <c r="H21" s="2" t="str">
        <f>_xlfn.CONCAT(LOWER(Tabulka1[[#This Row],[příjmení bez mezer]]),".",LOWER(Tabulka1[[#This Row],[Jmeno bez mezer]]),"@firmaabc.cz")</f>
        <v>fiserova.natalie@firmaabc.cz</v>
      </c>
      <c r="I21" s="2" t="str">
        <f>_xlfn.CONCAT(LOWER(LEFT(Tabulka1[[#This Row],[příjmení bez mezer]],3)),UPPER(RIGHT(Tabulka1[[#This Row],[Jmeno bez mezer]],2)))</f>
        <v>fisIE</v>
      </c>
      <c r="J21" s="2" t="s">
        <v>1140</v>
      </c>
      <c r="K21" s="2" t="s">
        <v>1640</v>
      </c>
      <c r="L21" s="3" t="s">
        <v>2030</v>
      </c>
    </row>
    <row r="22" spans="1:12" ht="60" x14ac:dyDescent="0.25">
      <c r="A22" s="2" t="s">
        <v>60</v>
      </c>
      <c r="B22" t="s">
        <v>61</v>
      </c>
      <c r="C22" t="s">
        <v>62</v>
      </c>
      <c r="D22" t="str">
        <f>TRIM(Tabulka1[[#This Row],[Jméno]])</f>
        <v>Dagmar</v>
      </c>
      <c r="E22" t="str">
        <f>TRIM(Tabulka1[[#This Row],[Příjmení]])</f>
        <v>Karlova</v>
      </c>
      <c r="F22" s="2" t="str">
        <f>MID(Tabulka1[[#This Row],[Adresa]],1,SEARCH(",",Tabulka1[[#This Row],[Adresa]])-1)</f>
        <v>Zahradní 569</v>
      </c>
      <c r="G22" s="2" t="str">
        <f>RIGHT(Tabulka1[[#This Row],[Adresa]],LEN(Tabulka1[[#This Row],[Adresa]])-LEN(Tabulka1[[#This Row],[Ulice]])-1)</f>
        <v>Budišov u Trebíce</v>
      </c>
      <c r="H22" s="2" t="str">
        <f>_xlfn.CONCAT(LOWER(Tabulka1[[#This Row],[příjmení bez mezer]]),".",LOWER(Tabulka1[[#This Row],[Jmeno bez mezer]]),"@firmaabc.cz")</f>
        <v>karlova.dagmar@firmaabc.cz</v>
      </c>
      <c r="I22" s="2" t="str">
        <f>_xlfn.CONCAT(LOWER(LEFT(Tabulka1[[#This Row],[příjmení bez mezer]],3)),UPPER(RIGHT(Tabulka1[[#This Row],[Jmeno bez mezer]],2)))</f>
        <v>karAR</v>
      </c>
      <c r="J22" s="2" t="s">
        <v>1141</v>
      </c>
      <c r="K22" s="2" t="s">
        <v>1641</v>
      </c>
      <c r="L22" s="3" t="s">
        <v>2031</v>
      </c>
    </row>
    <row r="23" spans="1:12" ht="45" x14ac:dyDescent="0.25">
      <c r="A23" s="2" t="s">
        <v>63</v>
      </c>
      <c r="B23" t="s">
        <v>64</v>
      </c>
      <c r="C23" t="s">
        <v>65</v>
      </c>
      <c r="D23" t="str">
        <f>TRIM(Tabulka1[[#This Row],[Jméno]])</f>
        <v>Karel</v>
      </c>
      <c r="E23" t="str">
        <f>TRIM(Tabulka1[[#This Row],[Příjmení]])</f>
        <v>Sliva</v>
      </c>
      <c r="F23" s="2" t="str">
        <f>MID(Tabulka1[[#This Row],[Adresa]],1,SEARCH(",",Tabulka1[[#This Row],[Adresa]])-1)</f>
        <v>Jiráskova 57</v>
      </c>
      <c r="G23" s="2" t="str">
        <f>RIGHT(Tabulka1[[#This Row],[Adresa]],LEN(Tabulka1[[#This Row],[Adresa]])-LEN(Tabulka1[[#This Row],[Ulice]])-1)</f>
        <v>Brodce nad Jizerou</v>
      </c>
      <c r="H23" s="2" t="str">
        <f>_xlfn.CONCAT(LOWER(Tabulka1[[#This Row],[příjmení bez mezer]]),".",LOWER(Tabulka1[[#This Row],[Jmeno bez mezer]]),"@firmaabc.cz")</f>
        <v>sliva.karel@firmaabc.cz</v>
      </c>
      <c r="I23" s="2" t="str">
        <f>_xlfn.CONCAT(LOWER(LEFT(Tabulka1[[#This Row],[příjmení bez mezer]],3)),UPPER(RIGHT(Tabulka1[[#This Row],[Jmeno bez mezer]],2)))</f>
        <v>sliEL</v>
      </c>
      <c r="J23" s="2" t="s">
        <v>1142</v>
      </c>
      <c r="K23" s="2" t="s">
        <v>1642</v>
      </c>
      <c r="L23" s="3" t="s">
        <v>2032</v>
      </c>
    </row>
    <row r="24" spans="1:12" ht="45" x14ac:dyDescent="0.25">
      <c r="A24" s="2" t="s">
        <v>66</v>
      </c>
      <c r="B24" t="s">
        <v>67</v>
      </c>
      <c r="C24" t="s">
        <v>68</v>
      </c>
      <c r="D24" t="str">
        <f>TRIM(Tabulka1[[#This Row],[Jméno]])</f>
        <v>Iva</v>
      </c>
      <c r="E24" t="str">
        <f>TRIM(Tabulka1[[#This Row],[Příjmení]])</f>
        <v>Skopkova</v>
      </c>
      <c r="F24" s="2" t="str">
        <f>MID(Tabulka1[[#This Row],[Adresa]],1,SEARCH(",",Tabulka1[[#This Row],[Adresa]])-1)</f>
        <v>Dašická 1815</v>
      </c>
      <c r="G24" s="2" t="str">
        <f>RIGHT(Tabulka1[[#This Row],[Adresa]],LEN(Tabulka1[[#This Row],[Adresa]])-LEN(Tabulka1[[#This Row],[Ulice]])-1)</f>
        <v>Holice v Cechách</v>
      </c>
      <c r="H24" s="2" t="str">
        <f>_xlfn.CONCAT(LOWER(Tabulka1[[#This Row],[příjmení bez mezer]]),".",LOWER(Tabulka1[[#This Row],[Jmeno bez mezer]]),"@firmaabc.cz")</f>
        <v>skopkova.iva@firmaabc.cz</v>
      </c>
      <c r="I24" s="2" t="str">
        <f>_xlfn.CONCAT(LOWER(LEFT(Tabulka1[[#This Row],[příjmení bez mezer]],3)),UPPER(RIGHT(Tabulka1[[#This Row],[Jmeno bez mezer]],2)))</f>
        <v>skoVA</v>
      </c>
      <c r="J24" s="2" t="s">
        <v>1143</v>
      </c>
      <c r="K24" s="2" t="s">
        <v>1634</v>
      </c>
      <c r="L24" s="3" t="s">
        <v>2033</v>
      </c>
    </row>
    <row r="25" spans="1:12" ht="45" x14ac:dyDescent="0.25">
      <c r="A25" s="2" t="s">
        <v>69</v>
      </c>
      <c r="B25" t="s">
        <v>70</v>
      </c>
      <c r="C25" t="s">
        <v>71</v>
      </c>
      <c r="D25" t="str">
        <f>TRIM(Tabulka1[[#This Row],[Jméno]])</f>
        <v>Jakub</v>
      </c>
      <c r="E25" t="str">
        <f>TRIM(Tabulka1[[#This Row],[Příjmení]])</f>
        <v>Dusek</v>
      </c>
      <c r="F25" s="2" t="str">
        <f>MID(Tabulka1[[#This Row],[Adresa]],1,SEARCH(",",Tabulka1[[#This Row],[Adresa]])-1)</f>
        <v>Osvobození 80</v>
      </c>
      <c r="G25" s="2" t="str">
        <f>RIGHT(Tabulka1[[#This Row],[Adresa]],LEN(Tabulka1[[#This Row],[Adresa]])-LEN(Tabulka1[[#This Row],[Ulice]])-1)</f>
        <v>Ostrava 10</v>
      </c>
      <c r="H25" s="2" t="str">
        <f>_xlfn.CONCAT(LOWER(Tabulka1[[#This Row],[příjmení bez mezer]]),".",LOWER(Tabulka1[[#This Row],[Jmeno bez mezer]]),"@firmaabc.cz")</f>
        <v>dusek.jakub@firmaabc.cz</v>
      </c>
      <c r="I25" s="2" t="str">
        <f>_xlfn.CONCAT(LOWER(LEFT(Tabulka1[[#This Row],[příjmení bez mezer]],3)),UPPER(RIGHT(Tabulka1[[#This Row],[Jmeno bez mezer]],2)))</f>
        <v>dusUB</v>
      </c>
      <c r="J25" s="2" t="s">
        <v>1144</v>
      </c>
      <c r="K25" s="2" t="s">
        <v>1643</v>
      </c>
      <c r="L25" s="3" t="s">
        <v>2034</v>
      </c>
    </row>
    <row r="26" spans="1:12" ht="60" x14ac:dyDescent="0.25">
      <c r="A26" s="2" t="s">
        <v>72</v>
      </c>
      <c r="B26" t="s">
        <v>73</v>
      </c>
      <c r="C26" t="s">
        <v>74</v>
      </c>
      <c r="D26" t="str">
        <f>TRIM(Tabulka1[[#This Row],[Jméno]])</f>
        <v>Daniel</v>
      </c>
      <c r="E26" t="str">
        <f>TRIM(Tabulka1[[#This Row],[Příjmení]])</f>
        <v>Janus</v>
      </c>
      <c r="F26" s="2" t="str">
        <f>MID(Tabulka1[[#This Row],[Adresa]],1,SEARCH(",",Tabulka1[[#This Row],[Adresa]])-1)</f>
        <v>Příční 1448</v>
      </c>
      <c r="G26" s="2" t="str">
        <f>RIGHT(Tabulka1[[#This Row],[Adresa]],LEN(Tabulka1[[#This Row],[Adresa]])-LEN(Tabulka1[[#This Row],[Ulice]])-1)</f>
        <v>Loucka u Valašského Mezirící</v>
      </c>
      <c r="H26" s="2" t="str">
        <f>_xlfn.CONCAT(LOWER(Tabulka1[[#This Row],[příjmení bez mezer]]),".",LOWER(Tabulka1[[#This Row],[Jmeno bez mezer]]),"@firmaabc.cz")</f>
        <v>janus.daniel@firmaabc.cz</v>
      </c>
      <c r="I26" s="2" t="str">
        <f>_xlfn.CONCAT(LOWER(LEFT(Tabulka1[[#This Row],[příjmení bez mezer]],3)),UPPER(RIGHT(Tabulka1[[#This Row],[Jmeno bez mezer]],2)))</f>
        <v>janEL</v>
      </c>
      <c r="J26" s="2" t="s">
        <v>1145</v>
      </c>
      <c r="K26" s="2" t="s">
        <v>1644</v>
      </c>
      <c r="L26" s="3" t="s">
        <v>2035</v>
      </c>
    </row>
    <row r="27" spans="1:12" ht="60" x14ac:dyDescent="0.25">
      <c r="A27" s="2" t="s">
        <v>75</v>
      </c>
      <c r="B27" t="s">
        <v>76</v>
      </c>
      <c r="C27" t="s">
        <v>77</v>
      </c>
      <c r="D27" t="str">
        <f>TRIM(Tabulka1[[#This Row],[Jméno]])</f>
        <v>Jitka</v>
      </c>
      <c r="E27" t="str">
        <f>TRIM(Tabulka1[[#This Row],[Příjmení]])</f>
        <v>Smejkalova</v>
      </c>
      <c r="F27" s="2" t="str">
        <f>MID(Tabulka1[[#This Row],[Adresa]],1,SEARCH(",",Tabulka1[[#This Row],[Adresa]])-1)</f>
        <v>Nová 691</v>
      </c>
      <c r="G27" s="2" t="str">
        <f>RIGHT(Tabulka1[[#This Row],[Adresa]],LEN(Tabulka1[[#This Row],[Adresa]])-LEN(Tabulka1[[#This Row],[Ulice]])-1)</f>
        <v>Velký Borek</v>
      </c>
      <c r="H27" s="2" t="str">
        <f>_xlfn.CONCAT(LOWER(Tabulka1[[#This Row],[příjmení bez mezer]]),".",LOWER(Tabulka1[[#This Row],[Jmeno bez mezer]]),"@firmaabc.cz")</f>
        <v>smejkalova.jitka@firmaabc.cz</v>
      </c>
      <c r="I27" s="2" t="str">
        <f>_xlfn.CONCAT(LOWER(LEFT(Tabulka1[[#This Row],[příjmení bez mezer]],3)),UPPER(RIGHT(Tabulka1[[#This Row],[Jmeno bez mezer]],2)))</f>
        <v>smeKA</v>
      </c>
      <c r="J27" s="2" t="s">
        <v>1146</v>
      </c>
      <c r="K27" s="2" t="s">
        <v>1645</v>
      </c>
      <c r="L27" s="3" t="s">
        <v>2036</v>
      </c>
    </row>
    <row r="28" spans="1:12" ht="60" x14ac:dyDescent="0.25">
      <c r="A28" s="2" t="s">
        <v>78</v>
      </c>
      <c r="B28" t="s">
        <v>79</v>
      </c>
      <c r="C28" t="s">
        <v>80</v>
      </c>
      <c r="D28" t="str">
        <f>TRIM(Tabulka1[[#This Row],[Jméno]])</f>
        <v>Miroslav</v>
      </c>
      <c r="E28" t="str">
        <f>TRIM(Tabulka1[[#This Row],[Příjmení]])</f>
        <v>Uvira</v>
      </c>
      <c r="F28" s="2" t="str">
        <f>MID(Tabulka1[[#This Row],[Adresa]],1,SEARCH(",",Tabulka1[[#This Row],[Adresa]])-1)</f>
        <v>Větrník 1393</v>
      </c>
      <c r="G28" s="2" t="str">
        <f>RIGHT(Tabulka1[[#This Row],[Adresa]],LEN(Tabulka1[[#This Row],[Adresa]])-LEN(Tabulka1[[#This Row],[Ulice]])-1)</f>
        <v>Studnice u Náchoda</v>
      </c>
      <c r="H28" s="2" t="str">
        <f>_xlfn.CONCAT(LOWER(Tabulka1[[#This Row],[příjmení bez mezer]]),".",LOWER(Tabulka1[[#This Row],[Jmeno bez mezer]]),"@firmaabc.cz")</f>
        <v>uvira.miroslav@firmaabc.cz</v>
      </c>
      <c r="I28" s="2" t="str">
        <f>_xlfn.CONCAT(LOWER(LEFT(Tabulka1[[#This Row],[příjmení bez mezer]],3)),UPPER(RIGHT(Tabulka1[[#This Row],[Jmeno bez mezer]],2)))</f>
        <v>uviAV</v>
      </c>
      <c r="J28" s="2" t="s">
        <v>1147</v>
      </c>
      <c r="K28" s="2" t="s">
        <v>1646</v>
      </c>
      <c r="L28" s="3" t="s">
        <v>2037</v>
      </c>
    </row>
    <row r="29" spans="1:12" ht="60" x14ac:dyDescent="0.25">
      <c r="A29" s="2" t="s">
        <v>81</v>
      </c>
      <c r="B29" t="s">
        <v>82</v>
      </c>
      <c r="C29" t="s">
        <v>83</v>
      </c>
      <c r="D29" t="str">
        <f>TRIM(Tabulka1[[#This Row],[Jméno]])</f>
        <v>Katerina</v>
      </c>
      <c r="E29" t="str">
        <f>TRIM(Tabulka1[[#This Row],[Příjmení]])</f>
        <v>Skalska</v>
      </c>
      <c r="F29" s="2" t="str">
        <f>MID(Tabulka1[[#This Row],[Adresa]],1,SEARCH(",",Tabulka1[[#This Row],[Adresa]])-1)</f>
        <v>Jabloňová 497</v>
      </c>
      <c r="G29" s="2" t="str">
        <f>RIGHT(Tabulka1[[#This Row],[Adresa]],LEN(Tabulka1[[#This Row],[Adresa]])-LEN(Tabulka1[[#This Row],[Ulice]])-1)</f>
        <v>Luže</v>
      </c>
      <c r="H29" s="2" t="str">
        <f>_xlfn.CONCAT(LOWER(Tabulka1[[#This Row],[příjmení bez mezer]]),".",LOWER(Tabulka1[[#This Row],[Jmeno bez mezer]]),"@firmaabc.cz")</f>
        <v>skalska.katerina@firmaabc.cz</v>
      </c>
      <c r="I29" s="2" t="str">
        <f>_xlfn.CONCAT(LOWER(LEFT(Tabulka1[[#This Row],[příjmení bez mezer]],3)),UPPER(RIGHT(Tabulka1[[#This Row],[Jmeno bez mezer]],2)))</f>
        <v>skaNA</v>
      </c>
      <c r="J29" s="2" t="s">
        <v>1148</v>
      </c>
      <c r="K29" s="2" t="s">
        <v>1647</v>
      </c>
      <c r="L29" s="3" t="s">
        <v>2038</v>
      </c>
    </row>
    <row r="30" spans="1:12" ht="60" x14ac:dyDescent="0.25">
      <c r="A30" s="2" t="s">
        <v>84</v>
      </c>
      <c r="B30" t="s">
        <v>85</v>
      </c>
      <c r="C30" t="s">
        <v>86</v>
      </c>
      <c r="D30" t="str">
        <f>TRIM(Tabulka1[[#This Row],[Jméno]])</f>
        <v>Martin</v>
      </c>
      <c r="E30" t="str">
        <f>TRIM(Tabulka1[[#This Row],[Příjmení]])</f>
        <v>Simunek</v>
      </c>
      <c r="F30" s="2" t="str">
        <f>MID(Tabulka1[[#This Row],[Adresa]],1,SEARCH(",",Tabulka1[[#This Row],[Adresa]])-1)</f>
        <v>Žerotínova 1547</v>
      </c>
      <c r="G30" s="2" t="str">
        <f>RIGHT(Tabulka1[[#This Row],[Adresa]],LEN(Tabulka1[[#This Row],[Adresa]])-LEN(Tabulka1[[#This Row],[Ulice]])-1)</f>
        <v>Havlíckuv Brod 1</v>
      </c>
      <c r="H30" s="2" t="str">
        <f>_xlfn.CONCAT(LOWER(Tabulka1[[#This Row],[příjmení bez mezer]]),".",LOWER(Tabulka1[[#This Row],[Jmeno bez mezer]]),"@firmaabc.cz")</f>
        <v>simunek.martin@firmaabc.cz</v>
      </c>
      <c r="I30" s="2" t="str">
        <f>_xlfn.CONCAT(LOWER(LEFT(Tabulka1[[#This Row],[příjmení bez mezer]],3)),UPPER(RIGHT(Tabulka1[[#This Row],[Jmeno bez mezer]],2)))</f>
        <v>simIN</v>
      </c>
      <c r="J30" s="2" t="s">
        <v>1149</v>
      </c>
      <c r="K30" s="2" t="s">
        <v>1648</v>
      </c>
      <c r="L30" s="3" t="s">
        <v>2039</v>
      </c>
    </row>
    <row r="31" spans="1:12" ht="60" x14ac:dyDescent="0.25">
      <c r="A31" s="2" t="s">
        <v>87</v>
      </c>
      <c r="B31" t="s">
        <v>88</v>
      </c>
      <c r="C31" t="s">
        <v>89</v>
      </c>
      <c r="D31" t="str">
        <f>TRIM(Tabulka1[[#This Row],[Jméno]])</f>
        <v>Pavel</v>
      </c>
      <c r="E31" t="str">
        <f>TRIM(Tabulka1[[#This Row],[Příjmení]])</f>
        <v>Chlubna</v>
      </c>
      <c r="F31" s="2" t="str">
        <f>MID(Tabulka1[[#This Row],[Adresa]],1,SEARCH(",",Tabulka1[[#This Row],[Adresa]])-1)</f>
        <v>Ehrmannova 1496</v>
      </c>
      <c r="G31" s="2" t="str">
        <f>RIGHT(Tabulka1[[#This Row],[Adresa]],LEN(Tabulka1[[#This Row],[Adresa]])-LEN(Tabulka1[[#This Row],[Ulice]])-1)</f>
        <v>Zastávka u Brna</v>
      </c>
      <c r="H31" s="2" t="str">
        <f>_xlfn.CONCAT(LOWER(Tabulka1[[#This Row],[příjmení bez mezer]]),".",LOWER(Tabulka1[[#This Row],[Jmeno bez mezer]]),"@firmaabc.cz")</f>
        <v>chlubna.pavel@firmaabc.cz</v>
      </c>
      <c r="I31" s="2" t="str">
        <f>_xlfn.CONCAT(LOWER(LEFT(Tabulka1[[#This Row],[příjmení bez mezer]],3)),UPPER(RIGHT(Tabulka1[[#This Row],[Jmeno bez mezer]],2)))</f>
        <v>chlEL</v>
      </c>
      <c r="J31" s="2" t="s">
        <v>1150</v>
      </c>
      <c r="K31" s="2" t="s">
        <v>1649</v>
      </c>
      <c r="L31" s="3" t="s">
        <v>2040</v>
      </c>
    </row>
    <row r="32" spans="1:12" ht="30" x14ac:dyDescent="0.25">
      <c r="A32" s="2" t="s">
        <v>90</v>
      </c>
      <c r="B32" t="s">
        <v>91</v>
      </c>
      <c r="C32" t="s">
        <v>92</v>
      </c>
      <c r="D32" t="str">
        <f>TRIM(Tabulka1[[#This Row],[Jméno]])</f>
        <v>Vera</v>
      </c>
      <c r="E32" t="str">
        <f>TRIM(Tabulka1[[#This Row],[Příjmení]])</f>
        <v>Kubistova</v>
      </c>
      <c r="F32" s="2" t="str">
        <f>MID(Tabulka1[[#This Row],[Adresa]],1,SEARCH(",",Tabulka1[[#This Row],[Adresa]])-1)</f>
        <v>Teperova 190</v>
      </c>
      <c r="G32" s="2" t="str">
        <f>RIGHT(Tabulka1[[#This Row],[Adresa]],LEN(Tabulka1[[#This Row],[Adresa]])-LEN(Tabulka1[[#This Row],[Ulice]])-1)</f>
        <v>Modrice</v>
      </c>
      <c r="H32" s="2" t="str">
        <f>_xlfn.CONCAT(LOWER(Tabulka1[[#This Row],[příjmení bez mezer]]),".",LOWER(Tabulka1[[#This Row],[Jmeno bez mezer]]),"@firmaabc.cz")</f>
        <v>kubistova.vera@firmaabc.cz</v>
      </c>
      <c r="I32" s="2" t="str">
        <f>_xlfn.CONCAT(LOWER(LEFT(Tabulka1[[#This Row],[příjmení bez mezer]],3)),UPPER(RIGHT(Tabulka1[[#This Row],[Jmeno bez mezer]],2)))</f>
        <v>kubRA</v>
      </c>
      <c r="J32" s="2" t="s">
        <v>1151</v>
      </c>
      <c r="K32" s="2" t="s">
        <v>1650</v>
      </c>
      <c r="L32" s="3" t="s">
        <v>2041</v>
      </c>
    </row>
    <row r="33" spans="1:12" ht="30" x14ac:dyDescent="0.25">
      <c r="A33" s="2" t="s">
        <v>93</v>
      </c>
      <c r="B33" t="s">
        <v>15</v>
      </c>
      <c r="C33" t="s">
        <v>94</v>
      </c>
      <c r="D33" t="str">
        <f>TRIM(Tabulka1[[#This Row],[Jméno]])</f>
        <v>Vladimir</v>
      </c>
      <c r="E33" t="str">
        <f>TRIM(Tabulka1[[#This Row],[Příjmení]])</f>
        <v>Hovorka</v>
      </c>
      <c r="F33" s="2" t="str">
        <f>MID(Tabulka1[[#This Row],[Adresa]],1,SEARCH(",",Tabulka1[[#This Row],[Adresa]])-1)</f>
        <v>Lomená 278</v>
      </c>
      <c r="G33" s="2" t="str">
        <f>RIGHT(Tabulka1[[#This Row],[Adresa]],LEN(Tabulka1[[#This Row],[Adresa]])-LEN(Tabulka1[[#This Row],[Ulice]])-1)</f>
        <v>Uhercice u Znojma</v>
      </c>
      <c r="H33" s="2" t="str">
        <f>_xlfn.CONCAT(LOWER(Tabulka1[[#This Row],[příjmení bez mezer]]),".",LOWER(Tabulka1[[#This Row],[Jmeno bez mezer]]),"@firmaabc.cz")</f>
        <v>hovorka.vladimir@firmaabc.cz</v>
      </c>
      <c r="I33" s="2" t="str">
        <f>_xlfn.CONCAT(LOWER(LEFT(Tabulka1[[#This Row],[příjmení bez mezer]],3)),UPPER(RIGHT(Tabulka1[[#This Row],[Jmeno bez mezer]],2)))</f>
        <v>hovIR</v>
      </c>
      <c r="J33" s="2" t="s">
        <v>1152</v>
      </c>
      <c r="K33" s="2" t="s">
        <v>1651</v>
      </c>
      <c r="L33" s="3" t="s">
        <v>2042</v>
      </c>
    </row>
    <row r="34" spans="1:12" ht="30" x14ac:dyDescent="0.25">
      <c r="A34" s="2" t="s">
        <v>95</v>
      </c>
      <c r="B34" t="s">
        <v>96</v>
      </c>
      <c r="C34" t="s">
        <v>97</v>
      </c>
      <c r="D34" t="str">
        <f>TRIM(Tabulka1[[#This Row],[Jméno]])</f>
        <v>Lukas</v>
      </c>
      <c r="E34" t="str">
        <f>TRIM(Tabulka1[[#This Row],[Příjmení]])</f>
        <v>Vesely</v>
      </c>
      <c r="F34" s="2" t="str">
        <f>MID(Tabulka1[[#This Row],[Adresa]],1,SEARCH(",",Tabulka1[[#This Row],[Adresa]])-1)</f>
        <v>Smetanova 291</v>
      </c>
      <c r="G34" s="2" t="str">
        <f>RIGHT(Tabulka1[[#This Row],[Adresa]],LEN(Tabulka1[[#This Row],[Adresa]])-LEN(Tabulka1[[#This Row],[Ulice]])-1)</f>
        <v>Prelouc</v>
      </c>
      <c r="H34" s="2" t="str">
        <f>_xlfn.CONCAT(LOWER(Tabulka1[[#This Row],[příjmení bez mezer]]),".",LOWER(Tabulka1[[#This Row],[Jmeno bez mezer]]),"@firmaabc.cz")</f>
        <v>vesely.lukas@firmaabc.cz</v>
      </c>
      <c r="I34" s="2" t="str">
        <f>_xlfn.CONCAT(LOWER(LEFT(Tabulka1[[#This Row],[příjmení bez mezer]],3)),UPPER(RIGHT(Tabulka1[[#This Row],[Jmeno bez mezer]],2)))</f>
        <v>vesAS</v>
      </c>
      <c r="J34" s="2" t="s">
        <v>1153</v>
      </c>
      <c r="K34" s="2" t="s">
        <v>1652</v>
      </c>
      <c r="L34" s="3" t="s">
        <v>2043</v>
      </c>
    </row>
    <row r="35" spans="1:12" x14ac:dyDescent="0.25">
      <c r="A35" s="2" t="s">
        <v>98</v>
      </c>
      <c r="B35" t="s">
        <v>33</v>
      </c>
      <c r="C35" t="s">
        <v>99</v>
      </c>
      <c r="D35" t="str">
        <f>TRIM(Tabulka1[[#This Row],[Jméno]])</f>
        <v>Karolina</v>
      </c>
      <c r="E35" t="str">
        <f>TRIM(Tabulka1[[#This Row],[Příjmení]])</f>
        <v>Klingerova</v>
      </c>
      <c r="F35" s="2" t="str">
        <f>MID(Tabulka1[[#This Row],[Adresa]],1,SEARCH(",",Tabulka1[[#This Row],[Adresa]])-1)</f>
        <v>Strmá 494</v>
      </c>
      <c r="G35" s="2" t="str">
        <f>RIGHT(Tabulka1[[#This Row],[Adresa]],LEN(Tabulka1[[#This Row],[Adresa]])-LEN(Tabulka1[[#This Row],[Ulice]])-1)</f>
        <v>Baška</v>
      </c>
      <c r="H35" s="2" t="str">
        <f>_xlfn.CONCAT(LOWER(Tabulka1[[#This Row],[příjmení bez mezer]]),".",LOWER(Tabulka1[[#This Row],[Jmeno bez mezer]]),"@firmaabc.cz")</f>
        <v>klingerova.karolina@firmaabc.cz</v>
      </c>
      <c r="I35" s="2" t="str">
        <f>_xlfn.CONCAT(LOWER(LEFT(Tabulka1[[#This Row],[příjmení bez mezer]],3)),UPPER(RIGHT(Tabulka1[[#This Row],[Jmeno bez mezer]],2)))</f>
        <v>kliNA</v>
      </c>
      <c r="J35" s="2" t="s">
        <v>1154</v>
      </c>
      <c r="K35" s="2" t="s">
        <v>1653</v>
      </c>
      <c r="L35" s="3" t="s">
        <v>2044</v>
      </c>
    </row>
    <row r="36" spans="1:12" ht="30" x14ac:dyDescent="0.25">
      <c r="A36" s="2" t="s">
        <v>100</v>
      </c>
      <c r="B36" t="s">
        <v>101</v>
      </c>
      <c r="C36" t="s">
        <v>102</v>
      </c>
      <c r="D36" t="str">
        <f>TRIM(Tabulka1[[#This Row],[Jméno]])</f>
        <v>Frantisek</v>
      </c>
      <c r="E36" t="str">
        <f>TRIM(Tabulka1[[#This Row],[Příjmení]])</f>
        <v>Tuma</v>
      </c>
      <c r="F36" s="2" t="str">
        <f>MID(Tabulka1[[#This Row],[Adresa]],1,SEARCH(",",Tabulka1[[#This Row],[Adresa]])-1)</f>
        <v>Ehrmannova 643</v>
      </c>
      <c r="G36" s="2" t="str">
        <f>RIGHT(Tabulka1[[#This Row],[Adresa]],LEN(Tabulka1[[#This Row],[Adresa]])-LEN(Tabulka1[[#This Row],[Ulice]])-1)</f>
        <v>Veverská Bítýška</v>
      </c>
      <c r="H36" s="2" t="str">
        <f>_xlfn.CONCAT(LOWER(Tabulka1[[#This Row],[příjmení bez mezer]]),".",LOWER(Tabulka1[[#This Row],[Jmeno bez mezer]]),"@firmaabc.cz")</f>
        <v>tuma.frantisek@firmaabc.cz</v>
      </c>
      <c r="I36" s="2" t="str">
        <f>_xlfn.CONCAT(LOWER(LEFT(Tabulka1[[#This Row],[příjmení bez mezer]],3)),UPPER(RIGHT(Tabulka1[[#This Row],[Jmeno bez mezer]],2)))</f>
        <v>tumEK</v>
      </c>
      <c r="J36" s="2" t="s">
        <v>1155</v>
      </c>
      <c r="K36" s="2" t="s">
        <v>1654</v>
      </c>
      <c r="L36" s="3" t="s">
        <v>2045</v>
      </c>
    </row>
    <row r="37" spans="1:12" ht="60" x14ac:dyDescent="0.25">
      <c r="A37" s="2" t="s">
        <v>103</v>
      </c>
      <c r="B37" t="s">
        <v>104</v>
      </c>
      <c r="C37" t="s">
        <v>105</v>
      </c>
      <c r="D37" t="str">
        <f>TRIM(Tabulka1[[#This Row],[Jméno]])</f>
        <v>Alena</v>
      </c>
      <c r="E37" t="str">
        <f>TRIM(Tabulka1[[#This Row],[Příjmení]])</f>
        <v>Vasickova</v>
      </c>
      <c r="F37" s="2" t="str">
        <f>MID(Tabulka1[[#This Row],[Adresa]],1,SEARCH(",",Tabulka1[[#This Row],[Adresa]])-1)</f>
        <v>Větrná 1384</v>
      </c>
      <c r="G37" s="2" t="str">
        <f>RIGHT(Tabulka1[[#This Row],[Adresa]],LEN(Tabulka1[[#This Row],[Adresa]])-LEN(Tabulka1[[#This Row],[Ulice]])-1)</f>
        <v>Babice u Uherského Hradište</v>
      </c>
      <c r="H37" s="2" t="str">
        <f>_xlfn.CONCAT(LOWER(Tabulka1[[#This Row],[příjmení bez mezer]]),".",LOWER(Tabulka1[[#This Row],[Jmeno bez mezer]]),"@firmaabc.cz")</f>
        <v>vasickova.alena@firmaabc.cz</v>
      </c>
      <c r="I37" s="2" t="str">
        <f>_xlfn.CONCAT(LOWER(LEFT(Tabulka1[[#This Row],[příjmení bez mezer]],3)),UPPER(RIGHT(Tabulka1[[#This Row],[Jmeno bez mezer]],2)))</f>
        <v>vasNA</v>
      </c>
      <c r="J37" s="2" t="s">
        <v>1156</v>
      </c>
      <c r="K37" s="2" t="s">
        <v>1655</v>
      </c>
      <c r="L37" s="3" t="s">
        <v>2046</v>
      </c>
    </row>
    <row r="38" spans="1:12" ht="30" x14ac:dyDescent="0.25">
      <c r="A38" s="2" t="s">
        <v>106</v>
      </c>
      <c r="B38" t="s">
        <v>107</v>
      </c>
      <c r="C38" t="s">
        <v>108</v>
      </c>
      <c r="D38" t="str">
        <f>TRIM(Tabulka1[[#This Row],[Jméno]])</f>
        <v>Sarka</v>
      </c>
      <c r="E38" t="str">
        <f>TRIM(Tabulka1[[#This Row],[Příjmení]])</f>
        <v>Prihodova</v>
      </c>
      <c r="F38" s="2" t="str">
        <f>MID(Tabulka1[[#This Row],[Adresa]],1,SEARCH(",",Tabulka1[[#This Row],[Adresa]])-1)</f>
        <v>Tyršova 580</v>
      </c>
      <c r="G38" s="2" t="str">
        <f>RIGHT(Tabulka1[[#This Row],[Adresa]],LEN(Tabulka1[[#This Row],[Adresa]])-LEN(Tabulka1[[#This Row],[Ulice]])-1)</f>
        <v>Horaždovice</v>
      </c>
      <c r="H38" s="2" t="str">
        <f>_xlfn.CONCAT(LOWER(Tabulka1[[#This Row],[příjmení bez mezer]]),".",LOWER(Tabulka1[[#This Row],[Jmeno bez mezer]]),"@firmaabc.cz")</f>
        <v>prihodova.sarka@firmaabc.cz</v>
      </c>
      <c r="I38" s="2" t="str">
        <f>_xlfn.CONCAT(LOWER(LEFT(Tabulka1[[#This Row],[příjmení bez mezer]],3)),UPPER(RIGHT(Tabulka1[[#This Row],[Jmeno bez mezer]],2)))</f>
        <v>priKA</v>
      </c>
      <c r="J38" s="2" t="s">
        <v>1157</v>
      </c>
      <c r="K38" s="2" t="s">
        <v>1656</v>
      </c>
      <c r="L38" s="3" t="s">
        <v>2047</v>
      </c>
    </row>
    <row r="39" spans="1:12" x14ac:dyDescent="0.25">
      <c r="A39" s="2" t="s">
        <v>109</v>
      </c>
      <c r="B39" t="s">
        <v>110</v>
      </c>
      <c r="C39" t="s">
        <v>111</v>
      </c>
      <c r="D39" t="str">
        <f>TRIM(Tabulka1[[#This Row],[Jméno]])</f>
        <v>Oldrich</v>
      </c>
      <c r="E39" t="str">
        <f>TRIM(Tabulka1[[#This Row],[Příjmení]])</f>
        <v>Sedlak</v>
      </c>
      <c r="F39" s="2" t="str">
        <f>MID(Tabulka1[[#This Row],[Adresa]],1,SEARCH(",",Tabulka1[[#This Row],[Adresa]])-1)</f>
        <v>Strmá 1852</v>
      </c>
      <c r="G39" s="2" t="str">
        <f>RIGHT(Tabulka1[[#This Row],[Adresa]],LEN(Tabulka1[[#This Row],[Adresa]])-LEN(Tabulka1[[#This Row],[Ulice]])-1)</f>
        <v>Celadná</v>
      </c>
      <c r="H39" s="2" t="str">
        <f>_xlfn.CONCAT(LOWER(Tabulka1[[#This Row],[příjmení bez mezer]]),".",LOWER(Tabulka1[[#This Row],[Jmeno bez mezer]]),"@firmaabc.cz")</f>
        <v>sedlak.oldrich@firmaabc.cz</v>
      </c>
      <c r="I39" s="2" t="str">
        <f>_xlfn.CONCAT(LOWER(LEFT(Tabulka1[[#This Row],[příjmení bez mezer]],3)),UPPER(RIGHT(Tabulka1[[#This Row],[Jmeno bez mezer]],2)))</f>
        <v>sedCH</v>
      </c>
      <c r="J39" s="2" t="s">
        <v>1158</v>
      </c>
      <c r="K39" s="2" t="s">
        <v>1657</v>
      </c>
      <c r="L39" s="3" t="s">
        <v>2048</v>
      </c>
    </row>
    <row r="40" spans="1:12" x14ac:dyDescent="0.25">
      <c r="A40" s="2" t="s">
        <v>112</v>
      </c>
      <c r="B40" t="s">
        <v>113</v>
      </c>
      <c r="C40" t="s">
        <v>114</v>
      </c>
      <c r="D40" t="str">
        <f>TRIM(Tabulka1[[#This Row],[Jméno]])</f>
        <v>Jiri</v>
      </c>
      <c r="E40" t="str">
        <f>TRIM(Tabulka1[[#This Row],[Příjmení]])</f>
        <v>?Dvorak</v>
      </c>
      <c r="F40" s="2" t="str">
        <f>MID(Tabulka1[[#This Row],[Adresa]],1,SEARCH(",",Tabulka1[[#This Row],[Adresa]])-1)</f>
        <v>Tyršova 719</v>
      </c>
      <c r="G40" s="2" t="str">
        <f>RIGHT(Tabulka1[[#This Row],[Adresa]],LEN(Tabulka1[[#This Row],[Adresa]])-LEN(Tabulka1[[#This Row],[Ulice]])-1)</f>
        <v>Trebon</v>
      </c>
      <c r="H40" s="2" t="str">
        <f>_xlfn.CONCAT(LOWER(Tabulka1[[#This Row],[příjmení bez mezer]]),".",LOWER(Tabulka1[[#This Row],[Jmeno bez mezer]]),"@firmaabc.cz")</f>
        <v>?dvorak.jiri@firmaabc.cz</v>
      </c>
      <c r="I40" s="2" t="str">
        <f>_xlfn.CONCAT(LOWER(LEFT(Tabulka1[[#This Row],[příjmení bez mezer]],3)),UPPER(RIGHT(Tabulka1[[#This Row],[Jmeno bez mezer]],2)))</f>
        <v>?dvRI</v>
      </c>
      <c r="J40" s="2" t="s">
        <v>1159</v>
      </c>
      <c r="K40" s="2" t="s">
        <v>1658</v>
      </c>
      <c r="L40" s="3" t="s">
        <v>2049</v>
      </c>
    </row>
    <row r="41" spans="1:12" ht="30" x14ac:dyDescent="0.25">
      <c r="A41" s="2" t="s">
        <v>115</v>
      </c>
      <c r="B41" t="s">
        <v>116</v>
      </c>
      <c r="C41" t="s">
        <v>117</v>
      </c>
      <c r="D41" t="str">
        <f>TRIM(Tabulka1[[#This Row],[Jméno]])</f>
        <v>Radomila</v>
      </c>
      <c r="E41" t="str">
        <f>TRIM(Tabulka1[[#This Row],[Příjmení]])</f>
        <v>Dankova</v>
      </c>
      <c r="F41" s="2" t="str">
        <f>MID(Tabulka1[[#This Row],[Adresa]],1,SEARCH(",",Tabulka1[[#This Row],[Adresa]])-1)</f>
        <v>Nové Město 1256</v>
      </c>
      <c r="G41" s="2" t="str">
        <f>RIGHT(Tabulka1[[#This Row],[Adresa]],LEN(Tabulka1[[#This Row],[Adresa]])-LEN(Tabulka1[[#This Row],[Ulice]])-1)</f>
        <v>Dušejov</v>
      </c>
      <c r="H41" s="2" t="str">
        <f>_xlfn.CONCAT(LOWER(Tabulka1[[#This Row],[příjmení bez mezer]]),".",LOWER(Tabulka1[[#This Row],[Jmeno bez mezer]]),"@firmaabc.cz")</f>
        <v>dankova.radomila@firmaabc.cz</v>
      </c>
      <c r="I41" s="2" t="str">
        <f>_xlfn.CONCAT(LOWER(LEFT(Tabulka1[[#This Row],[příjmení bez mezer]],3)),UPPER(RIGHT(Tabulka1[[#This Row],[Jmeno bez mezer]],2)))</f>
        <v>danLA</v>
      </c>
      <c r="J41" s="2" t="s">
        <v>1160</v>
      </c>
      <c r="K41" s="2" t="s">
        <v>1659</v>
      </c>
      <c r="L41" s="3" t="s">
        <v>2050</v>
      </c>
    </row>
    <row r="42" spans="1:12" ht="45" x14ac:dyDescent="0.25">
      <c r="A42" s="2" t="s">
        <v>118</v>
      </c>
      <c r="B42" t="s">
        <v>42</v>
      </c>
      <c r="C42" t="s">
        <v>119</v>
      </c>
      <c r="D42" t="str">
        <f>TRIM(Tabulka1[[#This Row],[Jméno]])</f>
        <v>Marie</v>
      </c>
      <c r="E42" t="str">
        <f>TRIM(Tabulka1[[#This Row],[Příjmení]])</f>
        <v>Bradacova</v>
      </c>
      <c r="F42" s="2" t="str">
        <f>MID(Tabulka1[[#This Row],[Adresa]],1,SEARCH(",",Tabulka1[[#This Row],[Adresa]])-1)</f>
        <v>Družstevní práce 620</v>
      </c>
      <c r="G42" s="2" t="str">
        <f>RIGHT(Tabulka1[[#This Row],[Adresa]],LEN(Tabulka1[[#This Row],[Adresa]])-LEN(Tabulka1[[#This Row],[Ulice]])-1)</f>
        <v>Lhota pod Libcany</v>
      </c>
      <c r="H42" s="2" t="str">
        <f>_xlfn.CONCAT(LOWER(Tabulka1[[#This Row],[příjmení bez mezer]]),".",LOWER(Tabulka1[[#This Row],[Jmeno bez mezer]]),"@firmaabc.cz")</f>
        <v>bradacova.marie@firmaabc.cz</v>
      </c>
      <c r="I42" s="2" t="str">
        <f>_xlfn.CONCAT(LOWER(LEFT(Tabulka1[[#This Row],[příjmení bez mezer]],3)),UPPER(RIGHT(Tabulka1[[#This Row],[Jmeno bez mezer]],2)))</f>
        <v>braIE</v>
      </c>
      <c r="J42" s="2" t="s">
        <v>1161</v>
      </c>
      <c r="K42" s="2" t="s">
        <v>1660</v>
      </c>
      <c r="L42" s="3" t="s">
        <v>2051</v>
      </c>
    </row>
    <row r="43" spans="1:12" ht="30" x14ac:dyDescent="0.25">
      <c r="A43" s="2" t="s">
        <v>120</v>
      </c>
      <c r="B43" t="s">
        <v>64</v>
      </c>
      <c r="C43" t="s">
        <v>121</v>
      </c>
      <c r="D43" t="str">
        <f>TRIM(Tabulka1[[#This Row],[Jméno]])</f>
        <v>Karel</v>
      </c>
      <c r="E43" t="str">
        <f>TRIM(Tabulka1[[#This Row],[Příjmení]])</f>
        <v>Skaloud</v>
      </c>
      <c r="F43" s="2" t="str">
        <f>MID(Tabulka1[[#This Row],[Adresa]],1,SEARCH(",",Tabulka1[[#This Row],[Adresa]])-1)</f>
        <v>K Pazderně 351</v>
      </c>
      <c r="G43" s="2" t="str">
        <f>RIGHT(Tabulka1[[#This Row],[Adresa]],LEN(Tabulka1[[#This Row],[Adresa]])-LEN(Tabulka1[[#This Row],[Ulice]])-1)</f>
        <v>Vlašim</v>
      </c>
      <c r="H43" s="2" t="str">
        <f>_xlfn.CONCAT(LOWER(Tabulka1[[#This Row],[příjmení bez mezer]]),".",LOWER(Tabulka1[[#This Row],[Jmeno bez mezer]]),"@firmaabc.cz")</f>
        <v>skaloud.karel@firmaabc.cz</v>
      </c>
      <c r="I43" s="2" t="str">
        <f>_xlfn.CONCAT(LOWER(LEFT(Tabulka1[[#This Row],[příjmení bez mezer]],3)),UPPER(RIGHT(Tabulka1[[#This Row],[Jmeno bez mezer]],2)))</f>
        <v>skaEL</v>
      </c>
      <c r="J43" s="2" t="s">
        <v>1162</v>
      </c>
      <c r="K43" s="2" t="s">
        <v>1661</v>
      </c>
      <c r="L43" s="3" t="s">
        <v>2052</v>
      </c>
    </row>
    <row r="44" spans="1:12" ht="30" x14ac:dyDescent="0.25">
      <c r="A44" s="2" t="s">
        <v>122</v>
      </c>
      <c r="B44" t="s">
        <v>123</v>
      </c>
      <c r="C44" t="s">
        <v>124</v>
      </c>
      <c r="D44" t="str">
        <f>TRIM(Tabulka1[[#This Row],[Jméno]])</f>
        <v>Veronika</v>
      </c>
      <c r="E44" t="str">
        <f>TRIM(Tabulka1[[#This Row],[Příjmení]])</f>
        <v>Mullerova</v>
      </c>
      <c r="F44" s="2" t="str">
        <f>MID(Tabulka1[[#This Row],[Adresa]],1,SEARCH(",",Tabulka1[[#This Row],[Adresa]])-1)</f>
        <v>Americká 1703</v>
      </c>
      <c r="G44" s="2" t="str">
        <f>RIGHT(Tabulka1[[#This Row],[Adresa]],LEN(Tabulka1[[#This Row],[Adresa]])-LEN(Tabulka1[[#This Row],[Ulice]])-1)</f>
        <v>Kdyne</v>
      </c>
      <c r="H44" s="2" t="str">
        <f>_xlfn.CONCAT(LOWER(Tabulka1[[#This Row],[příjmení bez mezer]]),".",LOWER(Tabulka1[[#This Row],[Jmeno bez mezer]]),"@firmaabc.cz")</f>
        <v>mullerova.veronika@firmaabc.cz</v>
      </c>
      <c r="I44" s="2" t="str">
        <f>_xlfn.CONCAT(LOWER(LEFT(Tabulka1[[#This Row],[příjmení bez mezer]],3)),UPPER(RIGHT(Tabulka1[[#This Row],[Jmeno bez mezer]],2)))</f>
        <v>mulKA</v>
      </c>
      <c r="J44" s="2" t="s">
        <v>1163</v>
      </c>
      <c r="K44" s="2" t="s">
        <v>1662</v>
      </c>
      <c r="L44" s="3" t="s">
        <v>2053</v>
      </c>
    </row>
    <row r="45" spans="1:12" ht="45" x14ac:dyDescent="0.25">
      <c r="A45" s="2" t="s">
        <v>125</v>
      </c>
      <c r="B45" t="s">
        <v>126</v>
      </c>
      <c r="C45" t="s">
        <v>127</v>
      </c>
      <c r="D45" t="str">
        <f>TRIM(Tabulka1[[#This Row],[Jméno]])</f>
        <v>Filip</v>
      </c>
      <c r="E45" t="str">
        <f>TRIM(Tabulka1[[#This Row],[Příjmení]])</f>
        <v>Lukasek</v>
      </c>
      <c r="F45" s="2" t="str">
        <f>MID(Tabulka1[[#This Row],[Adresa]],1,SEARCH(",",Tabulka1[[#This Row],[Adresa]])-1)</f>
        <v>Nové Město 1745</v>
      </c>
      <c r="G45" s="2" t="str">
        <f>RIGHT(Tabulka1[[#This Row],[Adresa]],LEN(Tabulka1[[#This Row],[Adresa]])-LEN(Tabulka1[[#This Row],[Ulice]])-1)</f>
        <v>Ledec nad Sázavou</v>
      </c>
      <c r="H45" s="2" t="str">
        <f>_xlfn.CONCAT(LOWER(Tabulka1[[#This Row],[příjmení bez mezer]]),".",LOWER(Tabulka1[[#This Row],[Jmeno bez mezer]]),"@firmaabc.cz")</f>
        <v>lukasek.filip@firmaabc.cz</v>
      </c>
      <c r="I45" s="2" t="str">
        <f>_xlfn.CONCAT(LOWER(LEFT(Tabulka1[[#This Row],[příjmení bez mezer]],3)),UPPER(RIGHT(Tabulka1[[#This Row],[Jmeno bez mezer]],2)))</f>
        <v>lukIP</v>
      </c>
      <c r="J45" s="2" t="s">
        <v>1164</v>
      </c>
      <c r="K45" s="2" t="s">
        <v>1663</v>
      </c>
      <c r="L45" s="3" t="s">
        <v>2054</v>
      </c>
    </row>
    <row r="46" spans="1:12" ht="45" x14ac:dyDescent="0.25">
      <c r="A46" s="2" t="s">
        <v>128</v>
      </c>
      <c r="B46" t="s">
        <v>129</v>
      </c>
      <c r="C46" t="s">
        <v>130</v>
      </c>
      <c r="D46" t="str">
        <f>TRIM(Tabulka1[[#This Row],[Jméno]])</f>
        <v>Vladislav</v>
      </c>
      <c r="E46" t="str">
        <f>TRIM(Tabulka1[[#This Row],[Příjmení]])</f>
        <v>Bartos</v>
      </c>
      <c r="F46" s="2" t="str">
        <f>MID(Tabulka1[[#This Row],[Adresa]],1,SEARCH(",",Tabulka1[[#This Row],[Adresa]])-1)</f>
        <v>V Trávníkách 929</v>
      </c>
      <c r="G46" s="2" t="str">
        <f>RIGHT(Tabulka1[[#This Row],[Adresa]],LEN(Tabulka1[[#This Row],[Adresa]])-LEN(Tabulka1[[#This Row],[Ulice]])-1)</f>
        <v>Rádlo</v>
      </c>
      <c r="H46" s="2" t="str">
        <f>_xlfn.CONCAT(LOWER(Tabulka1[[#This Row],[příjmení bez mezer]]),".",LOWER(Tabulka1[[#This Row],[Jmeno bez mezer]]),"@firmaabc.cz")</f>
        <v>bartos.vladislav@firmaabc.cz</v>
      </c>
      <c r="I46" s="2" t="str">
        <f>_xlfn.CONCAT(LOWER(LEFT(Tabulka1[[#This Row],[příjmení bez mezer]],3)),UPPER(RIGHT(Tabulka1[[#This Row],[Jmeno bez mezer]],2)))</f>
        <v>barAV</v>
      </c>
      <c r="J46" s="2" t="s">
        <v>1165</v>
      </c>
      <c r="K46" s="2" t="s">
        <v>1664</v>
      </c>
      <c r="L46" s="3" t="s">
        <v>2055</v>
      </c>
    </row>
    <row r="47" spans="1:12" ht="30" x14ac:dyDescent="0.25">
      <c r="A47" s="2" t="s">
        <v>131</v>
      </c>
      <c r="B47" t="s">
        <v>132</v>
      </c>
      <c r="C47" t="s">
        <v>133</v>
      </c>
      <c r="D47" t="str">
        <f>TRIM(Tabulka1[[#This Row],[Jméno]])</f>
        <v>Dominika</v>
      </c>
      <c r="E47" t="str">
        <f>TRIM(Tabulka1[[#This Row],[Příjmení]])</f>
        <v>Platenikova</v>
      </c>
      <c r="F47" s="2" t="str">
        <f>MID(Tabulka1[[#This Row],[Adresa]],1,SEARCH(",",Tabulka1[[#This Row],[Adresa]])-1)</f>
        <v>Třebčínská 927</v>
      </c>
      <c r="G47" s="2" t="str">
        <f>RIGHT(Tabulka1[[#This Row],[Adresa]],LEN(Tabulka1[[#This Row],[Adresa]])-LEN(Tabulka1[[#This Row],[Ulice]])-1)</f>
        <v>Cholina</v>
      </c>
      <c r="H47" s="2" t="str">
        <f>_xlfn.CONCAT(LOWER(Tabulka1[[#This Row],[příjmení bez mezer]]),".",LOWER(Tabulka1[[#This Row],[Jmeno bez mezer]]),"@firmaabc.cz")</f>
        <v>platenikova.dominika@firmaabc.cz</v>
      </c>
      <c r="I47" s="2" t="str">
        <f>_xlfn.CONCAT(LOWER(LEFT(Tabulka1[[#This Row],[příjmení bez mezer]],3)),UPPER(RIGHT(Tabulka1[[#This Row],[Jmeno bez mezer]],2)))</f>
        <v>plaKA</v>
      </c>
      <c r="J47" s="2" t="s">
        <v>1166</v>
      </c>
      <c r="K47" s="2" t="s">
        <v>1665</v>
      </c>
      <c r="L47" s="3" t="s">
        <v>2056</v>
      </c>
    </row>
    <row r="48" spans="1:12" ht="30" x14ac:dyDescent="0.25">
      <c r="A48" s="2" t="s">
        <v>134</v>
      </c>
      <c r="B48" t="s">
        <v>135</v>
      </c>
      <c r="C48" t="s">
        <v>136</v>
      </c>
      <c r="D48" t="str">
        <f>TRIM(Tabulka1[[#This Row],[Jméno]])</f>
        <v>Ondrej</v>
      </c>
      <c r="E48" t="str">
        <f>TRIM(Tabulka1[[#This Row],[Příjmení]])</f>
        <v>Miksovsky</v>
      </c>
      <c r="F48" s="2" t="str">
        <f>MID(Tabulka1[[#This Row],[Adresa]],1,SEARCH(",",Tabulka1[[#This Row],[Adresa]])-1)</f>
        <v>Osvobození 515</v>
      </c>
      <c r="G48" s="2" t="str">
        <f>RIGHT(Tabulka1[[#This Row],[Adresa]],LEN(Tabulka1[[#This Row],[Adresa]])-LEN(Tabulka1[[#This Row],[Ulice]])-1)</f>
        <v>Bohumín 3</v>
      </c>
      <c r="H48" s="2" t="str">
        <f>_xlfn.CONCAT(LOWER(Tabulka1[[#This Row],[příjmení bez mezer]]),".",LOWER(Tabulka1[[#This Row],[Jmeno bez mezer]]),"@firmaabc.cz")</f>
        <v>miksovsky.ondrej@firmaabc.cz</v>
      </c>
      <c r="I48" s="2" t="str">
        <f>_xlfn.CONCAT(LOWER(LEFT(Tabulka1[[#This Row],[příjmení bez mezer]],3)),UPPER(RIGHT(Tabulka1[[#This Row],[Jmeno bez mezer]],2)))</f>
        <v>mikEJ</v>
      </c>
      <c r="J48" s="2" t="s">
        <v>1167</v>
      </c>
      <c r="K48" s="2" t="s">
        <v>1666</v>
      </c>
      <c r="L48" s="3" t="s">
        <v>2057</v>
      </c>
    </row>
    <row r="49" spans="1:12" ht="30" x14ac:dyDescent="0.25">
      <c r="A49" s="2" t="s">
        <v>137</v>
      </c>
      <c r="B49" t="s">
        <v>138</v>
      </c>
      <c r="C49" t="s">
        <v>139</v>
      </c>
      <c r="D49" t="str">
        <f>TRIM(Tabulka1[[#This Row],[Jméno]])</f>
        <v>Iveta</v>
      </c>
      <c r="E49" t="str">
        <f>TRIM(Tabulka1[[#This Row],[Příjmení]])</f>
        <v>Janickova</v>
      </c>
      <c r="F49" s="2" t="str">
        <f>MID(Tabulka1[[#This Row],[Adresa]],1,SEARCH(",",Tabulka1[[#This Row],[Adresa]])-1)</f>
        <v>Českého odboje 992</v>
      </c>
      <c r="G49" s="2" t="str">
        <f>RIGHT(Tabulka1[[#This Row],[Adresa]],LEN(Tabulka1[[#This Row],[Adresa]])-LEN(Tabulka1[[#This Row],[Ulice]])-1)</f>
        <v>Dobruška</v>
      </c>
      <c r="H49" s="2" t="str">
        <f>_xlfn.CONCAT(LOWER(Tabulka1[[#This Row],[příjmení bez mezer]]),".",LOWER(Tabulka1[[#This Row],[Jmeno bez mezer]]),"@firmaabc.cz")</f>
        <v>janickova.iveta@firmaabc.cz</v>
      </c>
      <c r="I49" s="2" t="str">
        <f>_xlfn.CONCAT(LOWER(LEFT(Tabulka1[[#This Row],[příjmení bez mezer]],3)),UPPER(RIGHT(Tabulka1[[#This Row],[Jmeno bez mezer]],2)))</f>
        <v>janTA</v>
      </c>
      <c r="J49" s="2" t="s">
        <v>1168</v>
      </c>
      <c r="K49" s="2" t="s">
        <v>1667</v>
      </c>
      <c r="L49" s="3" t="s">
        <v>2058</v>
      </c>
    </row>
    <row r="50" spans="1:12" ht="30" x14ac:dyDescent="0.25">
      <c r="A50" s="2" t="s">
        <v>140</v>
      </c>
      <c r="B50" t="s">
        <v>82</v>
      </c>
      <c r="C50" t="s">
        <v>141</v>
      </c>
      <c r="D50" t="str">
        <f>TRIM(Tabulka1[[#This Row],[Jméno]])</f>
        <v>Katerina</v>
      </c>
      <c r="E50" t="str">
        <f>TRIM(Tabulka1[[#This Row],[Příjmení]])</f>
        <v>Kubatova</v>
      </c>
      <c r="F50" s="2" t="str">
        <f>MID(Tabulka1[[#This Row],[Adresa]],1,SEARCH(",",Tabulka1[[#This Row],[Adresa]])-1)</f>
        <v>Příční 1282</v>
      </c>
      <c r="G50" s="2" t="str">
        <f>RIGHT(Tabulka1[[#This Row],[Adresa]],LEN(Tabulka1[[#This Row],[Adresa]])-LEN(Tabulka1[[#This Row],[Ulice]])-1)</f>
        <v>Valašská Bystrice</v>
      </c>
      <c r="H50" s="2" t="str">
        <f>_xlfn.CONCAT(LOWER(Tabulka1[[#This Row],[příjmení bez mezer]]),".",LOWER(Tabulka1[[#This Row],[Jmeno bez mezer]]),"@firmaabc.cz")</f>
        <v>kubatova.katerina@firmaabc.cz</v>
      </c>
      <c r="I50" s="2" t="str">
        <f>_xlfn.CONCAT(LOWER(LEFT(Tabulka1[[#This Row],[příjmení bez mezer]],3)),UPPER(RIGHT(Tabulka1[[#This Row],[Jmeno bez mezer]],2)))</f>
        <v>kubNA</v>
      </c>
      <c r="J50" s="2" t="s">
        <v>1169</v>
      </c>
      <c r="K50" s="2" t="s">
        <v>1668</v>
      </c>
      <c r="L50" s="3" t="s">
        <v>2059</v>
      </c>
    </row>
    <row r="51" spans="1:12" ht="30" x14ac:dyDescent="0.25">
      <c r="A51" s="2" t="s">
        <v>142</v>
      </c>
      <c r="B51" t="s">
        <v>88</v>
      </c>
      <c r="C51" t="s">
        <v>143</v>
      </c>
      <c r="D51" t="str">
        <f>TRIM(Tabulka1[[#This Row],[Jméno]])</f>
        <v>Pavel</v>
      </c>
      <c r="E51" t="str">
        <f>TRIM(Tabulka1[[#This Row],[Příjmení]])</f>
        <v>Horvath</v>
      </c>
      <c r="F51" s="2" t="str">
        <f>MID(Tabulka1[[#This Row],[Adresa]],1,SEARCH(",",Tabulka1[[#This Row],[Adresa]])-1)</f>
        <v>Úzká 1118</v>
      </c>
      <c r="G51" s="2" t="str">
        <f>RIGHT(Tabulka1[[#This Row],[Adresa]],LEN(Tabulka1[[#This Row],[Adresa]])-LEN(Tabulka1[[#This Row],[Ulice]])-1)</f>
        <v>Brezí u Mikulova</v>
      </c>
      <c r="H51" s="2" t="str">
        <f>_xlfn.CONCAT(LOWER(Tabulka1[[#This Row],[příjmení bez mezer]]),".",LOWER(Tabulka1[[#This Row],[Jmeno bez mezer]]),"@firmaabc.cz")</f>
        <v>horvath.pavel@firmaabc.cz</v>
      </c>
      <c r="I51" s="2" t="str">
        <f>_xlfn.CONCAT(LOWER(LEFT(Tabulka1[[#This Row],[příjmení bez mezer]],3)),UPPER(RIGHT(Tabulka1[[#This Row],[Jmeno bez mezer]],2)))</f>
        <v>horEL</v>
      </c>
      <c r="J51" s="2" t="s">
        <v>1170</v>
      </c>
      <c r="K51" s="2" t="s">
        <v>1669</v>
      </c>
      <c r="L51" s="3" t="s">
        <v>2060</v>
      </c>
    </row>
    <row r="52" spans="1:12" ht="30" x14ac:dyDescent="0.25">
      <c r="A52" s="2" t="s">
        <v>144</v>
      </c>
      <c r="B52" t="s">
        <v>145</v>
      </c>
      <c r="C52" t="s">
        <v>146</v>
      </c>
      <c r="D52" t="str">
        <f>TRIM(Tabulka1[[#This Row],[Jméno]])</f>
        <v>Hana</v>
      </c>
      <c r="E52" t="str">
        <f>TRIM(Tabulka1[[#This Row],[Příjmení]])</f>
        <v>Chudobova</v>
      </c>
      <c r="F52" s="2" t="str">
        <f>MID(Tabulka1[[#This Row],[Adresa]],1,SEARCH(",",Tabulka1[[#This Row],[Adresa]])-1)</f>
        <v>Na Výsluní 1524</v>
      </c>
      <c r="G52" s="2" t="str">
        <f>RIGHT(Tabulka1[[#This Row],[Adresa]],LEN(Tabulka1[[#This Row],[Adresa]])-LEN(Tabulka1[[#This Row],[Ulice]])-1)</f>
        <v>Dolní Brežany</v>
      </c>
      <c r="H52" s="2" t="str">
        <f>_xlfn.CONCAT(LOWER(Tabulka1[[#This Row],[příjmení bez mezer]]),".",LOWER(Tabulka1[[#This Row],[Jmeno bez mezer]]),"@firmaabc.cz")</f>
        <v>chudobova.hana@firmaabc.cz</v>
      </c>
      <c r="I52" s="2" t="str">
        <f>_xlfn.CONCAT(LOWER(LEFT(Tabulka1[[#This Row],[příjmení bez mezer]],3)),UPPER(RIGHT(Tabulka1[[#This Row],[Jmeno bez mezer]],2)))</f>
        <v>chuNA</v>
      </c>
      <c r="J52" s="2" t="s">
        <v>1171</v>
      </c>
      <c r="K52" s="2" t="s">
        <v>1670</v>
      </c>
      <c r="L52" s="3" t="s">
        <v>2061</v>
      </c>
    </row>
    <row r="53" spans="1:12" x14ac:dyDescent="0.25">
      <c r="A53" s="2" t="s">
        <v>147</v>
      </c>
      <c r="B53" t="s">
        <v>148</v>
      </c>
      <c r="C53" t="s">
        <v>149</v>
      </c>
      <c r="D53" t="str">
        <f>TRIM(Tabulka1[[#This Row],[Jméno]])</f>
        <v>Josef</v>
      </c>
      <c r="E53" t="str">
        <f>TRIM(Tabulka1[[#This Row],[Příjmení]])</f>
        <v>Drahos</v>
      </c>
      <c r="F53" s="2" t="str">
        <f>MID(Tabulka1[[#This Row],[Adresa]],1,SEARCH(",",Tabulka1[[#This Row],[Adresa]])-1)</f>
        <v>Střední 965</v>
      </c>
      <c r="G53" s="2" t="str">
        <f>RIGHT(Tabulka1[[#This Row],[Adresa]],LEN(Tabulka1[[#This Row],[Adresa]])-LEN(Tabulka1[[#This Row],[Ulice]])-1)</f>
        <v>Kaznejov</v>
      </c>
      <c r="H53" s="2" t="str">
        <f>_xlfn.CONCAT(LOWER(Tabulka1[[#This Row],[příjmení bez mezer]]),".",LOWER(Tabulka1[[#This Row],[Jmeno bez mezer]]),"@firmaabc.cz")</f>
        <v>drahos.josef@firmaabc.cz</v>
      </c>
      <c r="I53" s="2" t="str">
        <f>_xlfn.CONCAT(LOWER(LEFT(Tabulka1[[#This Row],[příjmení bez mezer]],3)),UPPER(RIGHT(Tabulka1[[#This Row],[Jmeno bez mezer]],2)))</f>
        <v>draEF</v>
      </c>
      <c r="J53" s="2" t="s">
        <v>1172</v>
      </c>
      <c r="K53" s="2" t="s">
        <v>1671</v>
      </c>
      <c r="L53" s="3" t="s">
        <v>2062</v>
      </c>
    </row>
    <row r="54" spans="1:12" ht="30" x14ac:dyDescent="0.25">
      <c r="A54" s="2" t="s">
        <v>150</v>
      </c>
      <c r="B54" t="s">
        <v>135</v>
      </c>
      <c r="C54" t="s">
        <v>151</v>
      </c>
      <c r="D54" t="str">
        <f>TRIM(Tabulka1[[#This Row],[Jméno]])</f>
        <v>Ondrej</v>
      </c>
      <c r="E54" t="str">
        <f>TRIM(Tabulka1[[#This Row],[Příjmení]])</f>
        <v>Neoral</v>
      </c>
      <c r="F54" s="2" t="str">
        <f>MID(Tabulka1[[#This Row],[Adresa]],1,SEARCH(",",Tabulka1[[#This Row],[Adresa]])-1)</f>
        <v>Osnická 1885</v>
      </c>
      <c r="G54" s="2" t="str">
        <f>RIGHT(Tabulka1[[#This Row],[Adresa]],LEN(Tabulka1[[#This Row],[Adresa]])-LEN(Tabulka1[[#This Row],[Ulice]])-1)</f>
        <v>Praha 411</v>
      </c>
      <c r="H54" s="2" t="str">
        <f>_xlfn.CONCAT(LOWER(Tabulka1[[#This Row],[příjmení bez mezer]]),".",LOWER(Tabulka1[[#This Row],[Jmeno bez mezer]]),"@firmaabc.cz")</f>
        <v>neoral.ondrej@firmaabc.cz</v>
      </c>
      <c r="I54" s="2" t="str">
        <f>_xlfn.CONCAT(LOWER(LEFT(Tabulka1[[#This Row],[příjmení bez mezer]],3)),UPPER(RIGHT(Tabulka1[[#This Row],[Jmeno bez mezer]],2)))</f>
        <v>neoEJ</v>
      </c>
      <c r="J54" s="2" t="s">
        <v>1173</v>
      </c>
      <c r="K54" s="2" t="s">
        <v>1672</v>
      </c>
      <c r="L54" s="3" t="s">
        <v>2063</v>
      </c>
    </row>
    <row r="55" spans="1:12" ht="60" x14ac:dyDescent="0.25">
      <c r="A55" s="2" t="s">
        <v>152</v>
      </c>
      <c r="B55" t="s">
        <v>24</v>
      </c>
      <c r="C55" t="s">
        <v>153</v>
      </c>
      <c r="D55" t="str">
        <f>TRIM(Tabulka1[[#This Row],[Jméno]])</f>
        <v>Jan</v>
      </c>
      <c r="E55" t="str">
        <f>TRIM(Tabulka1[[#This Row],[Příjmení]])</f>
        <v>Kubica</v>
      </c>
      <c r="F55" s="2" t="str">
        <f>MID(Tabulka1[[#This Row],[Adresa]],1,SEARCH(",",Tabulka1[[#This Row],[Adresa]])-1)</f>
        <v>Dobrovského 1381</v>
      </c>
      <c r="G55" s="2" t="str">
        <f>RIGHT(Tabulka1[[#This Row],[Adresa]],LEN(Tabulka1[[#This Row],[Adresa]])-LEN(Tabulka1[[#This Row],[Ulice]])-1)</f>
        <v>Kostelec nad Cernými Lesy</v>
      </c>
      <c r="H55" s="2" t="str">
        <f>_xlfn.CONCAT(LOWER(Tabulka1[[#This Row],[příjmení bez mezer]]),".",LOWER(Tabulka1[[#This Row],[Jmeno bez mezer]]),"@firmaabc.cz")</f>
        <v>kubica.jan@firmaabc.cz</v>
      </c>
      <c r="I55" s="2" t="str">
        <f>_xlfn.CONCAT(LOWER(LEFT(Tabulka1[[#This Row],[příjmení bez mezer]],3)),UPPER(RIGHT(Tabulka1[[#This Row],[Jmeno bez mezer]],2)))</f>
        <v>kubAN</v>
      </c>
      <c r="J55" s="2" t="s">
        <v>1174</v>
      </c>
      <c r="K55" s="2" t="s">
        <v>1673</v>
      </c>
      <c r="L55" s="3" t="s">
        <v>2064</v>
      </c>
    </row>
    <row r="56" spans="1:12" ht="45" x14ac:dyDescent="0.25">
      <c r="A56" s="2" t="s">
        <v>154</v>
      </c>
      <c r="B56" t="s">
        <v>155</v>
      </c>
      <c r="C56" t="s">
        <v>156</v>
      </c>
      <c r="D56" t="str">
        <f>TRIM(Tabulka1[[#This Row],[Jméno]])</f>
        <v>Stepan</v>
      </c>
      <c r="E56" t="str">
        <f>TRIM(Tabulka1[[#This Row],[Příjmení]])</f>
        <v>Hluchnik</v>
      </c>
      <c r="F56" s="2" t="str">
        <f>MID(Tabulka1[[#This Row],[Adresa]],1,SEARCH(",",Tabulka1[[#This Row],[Adresa]])-1)</f>
        <v>Jana Šťastného 813</v>
      </c>
      <c r="G56" s="2" t="str">
        <f>RIGHT(Tabulka1[[#This Row],[Adresa]],LEN(Tabulka1[[#This Row],[Adresa]])-LEN(Tabulka1[[#This Row],[Ulice]])-1)</f>
        <v>Kamenice</v>
      </c>
      <c r="H56" s="2" t="str">
        <f>_xlfn.CONCAT(LOWER(Tabulka1[[#This Row],[příjmení bez mezer]]),".",LOWER(Tabulka1[[#This Row],[Jmeno bez mezer]]),"@firmaabc.cz")</f>
        <v>hluchnik.stepan@firmaabc.cz</v>
      </c>
      <c r="I56" s="2" t="str">
        <f>_xlfn.CONCAT(LOWER(LEFT(Tabulka1[[#This Row],[příjmení bez mezer]],3)),UPPER(RIGHT(Tabulka1[[#This Row],[Jmeno bez mezer]],2)))</f>
        <v>hluAN</v>
      </c>
      <c r="J56" s="2" t="s">
        <v>1175</v>
      </c>
      <c r="K56" s="2" t="s">
        <v>1674</v>
      </c>
      <c r="L56" s="3" t="s">
        <v>2065</v>
      </c>
    </row>
    <row r="57" spans="1:12" ht="30" x14ac:dyDescent="0.25">
      <c r="A57" s="2" t="s">
        <v>157</v>
      </c>
      <c r="B57" t="s">
        <v>138</v>
      </c>
      <c r="C57" t="s">
        <v>158</v>
      </c>
      <c r="D57" t="str">
        <f>TRIM(Tabulka1[[#This Row],[Jméno]])</f>
        <v>Iveta</v>
      </c>
      <c r="E57" t="str">
        <f>TRIM(Tabulka1[[#This Row],[Příjmení]])</f>
        <v>Svedova</v>
      </c>
      <c r="F57" s="2" t="str">
        <f>MID(Tabulka1[[#This Row],[Adresa]],1,SEARCH(",",Tabulka1[[#This Row],[Adresa]])-1)</f>
        <v>Jiráskova 969</v>
      </c>
      <c r="G57" s="2" t="str">
        <f>RIGHT(Tabulka1[[#This Row],[Adresa]],LEN(Tabulka1[[#This Row],[Adresa]])-LEN(Tabulka1[[#This Row],[Ulice]])-1)</f>
        <v>Nasavrky</v>
      </c>
      <c r="H57" s="2" t="str">
        <f>_xlfn.CONCAT(LOWER(Tabulka1[[#This Row],[příjmení bez mezer]]),".",LOWER(Tabulka1[[#This Row],[Jmeno bez mezer]]),"@firmaabc.cz")</f>
        <v>svedova.iveta@firmaabc.cz</v>
      </c>
      <c r="I57" s="2" t="str">
        <f>_xlfn.CONCAT(LOWER(LEFT(Tabulka1[[#This Row],[příjmení bez mezer]],3)),UPPER(RIGHT(Tabulka1[[#This Row],[Jmeno bez mezer]],2)))</f>
        <v>sveTA</v>
      </c>
      <c r="J57" s="2" t="s">
        <v>1176</v>
      </c>
      <c r="K57" s="2" t="s">
        <v>1675</v>
      </c>
      <c r="L57" s="3" t="s">
        <v>2066</v>
      </c>
    </row>
    <row r="58" spans="1:12" ht="30" x14ac:dyDescent="0.25">
      <c r="A58" s="2" t="s">
        <v>159</v>
      </c>
      <c r="B58" t="s">
        <v>160</v>
      </c>
      <c r="C58" t="s">
        <v>161</v>
      </c>
      <c r="D58" t="str">
        <f>TRIM(Tabulka1[[#This Row],[Jméno]])</f>
        <v>Jaroslava</v>
      </c>
      <c r="E58" t="str">
        <f>TRIM(Tabulka1[[#This Row],[Příjmení]])</f>
        <v>Cerna</v>
      </c>
      <c r="F58" s="2" t="str">
        <f>MID(Tabulka1[[#This Row],[Adresa]],1,SEARCH(",",Tabulka1[[#This Row],[Adresa]])-1)</f>
        <v>Na Výsluní 515</v>
      </c>
      <c r="G58" s="2" t="str">
        <f>RIGHT(Tabulka1[[#This Row],[Adresa]],LEN(Tabulka1[[#This Row],[Adresa]])-LEN(Tabulka1[[#This Row],[Ulice]])-1)</f>
        <v>Velké Prílepy</v>
      </c>
      <c r="H58" s="2" t="str">
        <f>_xlfn.CONCAT(LOWER(Tabulka1[[#This Row],[příjmení bez mezer]]),".",LOWER(Tabulka1[[#This Row],[Jmeno bez mezer]]),"@firmaabc.cz")</f>
        <v>cerna.jaroslava@firmaabc.cz</v>
      </c>
      <c r="I58" s="2" t="str">
        <f>_xlfn.CONCAT(LOWER(LEFT(Tabulka1[[#This Row],[příjmení bez mezer]],3)),UPPER(RIGHT(Tabulka1[[#This Row],[Jmeno bez mezer]],2)))</f>
        <v>cerVA</v>
      </c>
      <c r="J58" s="2" t="s">
        <v>1177</v>
      </c>
      <c r="K58" s="2" t="s">
        <v>1676</v>
      </c>
      <c r="L58" s="3" t="s">
        <v>2067</v>
      </c>
    </row>
    <row r="59" spans="1:12" ht="30" x14ac:dyDescent="0.25">
      <c r="A59" s="2" t="s">
        <v>162</v>
      </c>
      <c r="B59" t="s">
        <v>101</v>
      </c>
      <c r="C59" t="s">
        <v>163</v>
      </c>
      <c r="D59" t="str">
        <f>TRIM(Tabulka1[[#This Row],[Jméno]])</f>
        <v>Frantisek</v>
      </c>
      <c r="E59" t="str">
        <f>TRIM(Tabulka1[[#This Row],[Příjmení]])</f>
        <v>Novak</v>
      </c>
      <c r="F59" s="2" t="str">
        <f>MID(Tabulka1[[#This Row],[Adresa]],1,SEARCH(",",Tabulka1[[#This Row],[Adresa]])-1)</f>
        <v>Nová 1483</v>
      </c>
      <c r="G59" s="2" t="str">
        <f>RIGHT(Tabulka1[[#This Row],[Adresa]],LEN(Tabulka1[[#This Row],[Adresa]])-LEN(Tabulka1[[#This Row],[Ulice]])-1)</f>
        <v>Strakonice 1</v>
      </c>
      <c r="H59" s="2" t="str">
        <f>_xlfn.CONCAT(LOWER(Tabulka1[[#This Row],[příjmení bez mezer]]),".",LOWER(Tabulka1[[#This Row],[Jmeno bez mezer]]),"@firmaabc.cz")</f>
        <v>novak.frantisek@firmaabc.cz</v>
      </c>
      <c r="I59" s="2" t="str">
        <f>_xlfn.CONCAT(LOWER(LEFT(Tabulka1[[#This Row],[příjmení bez mezer]],3)),UPPER(RIGHT(Tabulka1[[#This Row],[Jmeno bez mezer]],2)))</f>
        <v>novEK</v>
      </c>
      <c r="J59" s="2" t="s">
        <v>1178</v>
      </c>
      <c r="K59" s="2" t="s">
        <v>1677</v>
      </c>
      <c r="L59" s="3" t="s">
        <v>2068</v>
      </c>
    </row>
    <row r="60" spans="1:12" ht="45" x14ac:dyDescent="0.25">
      <c r="A60" s="2" t="s">
        <v>164</v>
      </c>
      <c r="B60" t="s">
        <v>165</v>
      </c>
      <c r="C60" t="s">
        <v>166</v>
      </c>
      <c r="D60" t="str">
        <f>TRIM(Tabulka1[[#This Row],[Jméno]])</f>
        <v>Zdenka</v>
      </c>
      <c r="E60" t="str">
        <f>TRIM(Tabulka1[[#This Row],[Příjmení]])</f>
        <v>Soukupova</v>
      </c>
      <c r="F60" s="2" t="str">
        <f>MID(Tabulka1[[#This Row],[Adresa]],1,SEARCH(",",Tabulka1[[#This Row],[Adresa]])-1)</f>
        <v>Nové Město 1128</v>
      </c>
      <c r="G60" s="2" t="str">
        <f>RIGHT(Tabulka1[[#This Row],[Adresa]],LEN(Tabulka1[[#This Row],[Adresa]])-LEN(Tabulka1[[#This Row],[Ulice]])-1)</f>
        <v>Ledec nad Sázavou</v>
      </c>
      <c r="H60" s="2" t="str">
        <f>_xlfn.CONCAT(LOWER(Tabulka1[[#This Row],[příjmení bez mezer]]),".",LOWER(Tabulka1[[#This Row],[Jmeno bez mezer]]),"@firmaabc.cz")</f>
        <v>soukupova.zdenka@firmaabc.cz</v>
      </c>
      <c r="I60" s="2" t="str">
        <f>_xlfn.CONCAT(LOWER(LEFT(Tabulka1[[#This Row],[příjmení bez mezer]],3)),UPPER(RIGHT(Tabulka1[[#This Row],[Jmeno bez mezer]],2)))</f>
        <v>souKA</v>
      </c>
      <c r="J60" s="2" t="s">
        <v>1179</v>
      </c>
      <c r="K60" s="2" t="s">
        <v>1663</v>
      </c>
      <c r="L60" s="3" t="s">
        <v>2069</v>
      </c>
    </row>
    <row r="61" spans="1:12" ht="30" x14ac:dyDescent="0.25">
      <c r="A61" s="2" t="s">
        <v>167</v>
      </c>
      <c r="B61" t="s">
        <v>15</v>
      </c>
      <c r="C61" t="s">
        <v>168</v>
      </c>
      <c r="D61" t="str">
        <f>TRIM(Tabulka1[[#This Row],[Jméno]])</f>
        <v>Vladimir</v>
      </c>
      <c r="E61" t="str">
        <f>TRIM(Tabulka1[[#This Row],[Příjmení]])</f>
        <v>Horacek</v>
      </c>
      <c r="F61" s="2" t="str">
        <f>MID(Tabulka1[[#This Row],[Adresa]],1,SEARCH(",",Tabulka1[[#This Row],[Adresa]])-1)</f>
        <v>Jabloňová 187</v>
      </c>
      <c r="G61" s="2" t="str">
        <f>RIGHT(Tabulka1[[#This Row],[Adresa]],LEN(Tabulka1[[#This Row],[Adresa]])-LEN(Tabulka1[[#This Row],[Ulice]])-1)</f>
        <v>Tremošnice</v>
      </c>
      <c r="H61" s="2" t="str">
        <f>_xlfn.CONCAT(LOWER(Tabulka1[[#This Row],[příjmení bez mezer]]),".",LOWER(Tabulka1[[#This Row],[Jmeno bez mezer]]),"@firmaabc.cz")</f>
        <v>horacek.vladimir@firmaabc.cz</v>
      </c>
      <c r="I61" s="2" t="str">
        <f>_xlfn.CONCAT(LOWER(LEFT(Tabulka1[[#This Row],[příjmení bez mezer]],3)),UPPER(RIGHT(Tabulka1[[#This Row],[Jmeno bez mezer]],2)))</f>
        <v>horIR</v>
      </c>
      <c r="J61" s="2" t="s">
        <v>1180</v>
      </c>
      <c r="K61" s="2" t="s">
        <v>1678</v>
      </c>
      <c r="L61" s="3" t="s">
        <v>2070</v>
      </c>
    </row>
    <row r="62" spans="1:12" ht="30" x14ac:dyDescent="0.25">
      <c r="A62" s="2" t="s">
        <v>169</v>
      </c>
      <c r="B62" t="s">
        <v>170</v>
      </c>
      <c r="C62" t="s">
        <v>171</v>
      </c>
      <c r="D62" t="str">
        <f>TRIM(Tabulka1[[#This Row],[Jméno]])</f>
        <v>David</v>
      </c>
      <c r="E62" t="str">
        <f>TRIM(Tabulka1[[#This Row],[Příjmení]])</f>
        <v>Tesarik</v>
      </c>
      <c r="F62" s="2" t="str">
        <f>MID(Tabulka1[[#This Row],[Adresa]],1,SEARCH(",",Tabulka1[[#This Row],[Adresa]])-1)</f>
        <v>Pod Strání 1439</v>
      </c>
      <c r="G62" s="2" t="str">
        <f>RIGHT(Tabulka1[[#This Row],[Adresa]],LEN(Tabulka1[[#This Row],[Adresa]])-LEN(Tabulka1[[#This Row],[Ulice]])-1)</f>
        <v>Hostinné</v>
      </c>
      <c r="H62" s="2" t="str">
        <f>_xlfn.CONCAT(LOWER(Tabulka1[[#This Row],[příjmení bez mezer]]),".",LOWER(Tabulka1[[#This Row],[Jmeno bez mezer]]),"@firmaabc.cz")</f>
        <v>tesarik.david@firmaabc.cz</v>
      </c>
      <c r="I62" s="2" t="str">
        <f>_xlfn.CONCAT(LOWER(LEFT(Tabulka1[[#This Row],[příjmení bez mezer]],3)),UPPER(RIGHT(Tabulka1[[#This Row],[Jmeno bez mezer]],2)))</f>
        <v>tesID</v>
      </c>
      <c r="J62" s="2" t="s">
        <v>1181</v>
      </c>
      <c r="K62" s="2" t="s">
        <v>1679</v>
      </c>
      <c r="L62" s="3" t="s">
        <v>2071</v>
      </c>
    </row>
    <row r="63" spans="1:12" ht="30" x14ac:dyDescent="0.25">
      <c r="A63" s="2" t="s">
        <v>172</v>
      </c>
      <c r="B63" t="s">
        <v>30</v>
      </c>
      <c r="C63" t="s">
        <v>173</v>
      </c>
      <c r="D63" t="str">
        <f>TRIM(Tabulka1[[#This Row],[Jméno]])</f>
        <v>Michal</v>
      </c>
      <c r="E63" t="str">
        <f>TRIM(Tabulka1[[#This Row],[Příjmení]])</f>
        <v>Plachy</v>
      </c>
      <c r="F63" s="2" t="str">
        <f>MID(Tabulka1[[#This Row],[Adresa]],1,SEARCH(",",Tabulka1[[#This Row],[Adresa]])-1)</f>
        <v>Ehrmannova 1661</v>
      </c>
      <c r="G63" s="2" t="str">
        <f>RIGHT(Tabulka1[[#This Row],[Adresa]],LEN(Tabulka1[[#This Row],[Adresa]])-LEN(Tabulka1[[#This Row],[Ulice]])-1)</f>
        <v>Domašov u Brna</v>
      </c>
      <c r="H63" s="2" t="str">
        <f>_xlfn.CONCAT(LOWER(Tabulka1[[#This Row],[příjmení bez mezer]]),".",LOWER(Tabulka1[[#This Row],[Jmeno bez mezer]]),"@firmaabc.cz")</f>
        <v>plachy.michal@firmaabc.cz</v>
      </c>
      <c r="I63" s="2" t="str">
        <f>_xlfn.CONCAT(LOWER(LEFT(Tabulka1[[#This Row],[příjmení bez mezer]],3)),UPPER(RIGHT(Tabulka1[[#This Row],[Jmeno bez mezer]],2)))</f>
        <v>plaAL</v>
      </c>
      <c r="J63" s="2" t="s">
        <v>1182</v>
      </c>
      <c r="K63" s="2" t="s">
        <v>1680</v>
      </c>
      <c r="L63" s="3" t="s">
        <v>2072</v>
      </c>
    </row>
    <row r="64" spans="1:12" ht="30" x14ac:dyDescent="0.25">
      <c r="A64" s="2" t="s">
        <v>174</v>
      </c>
      <c r="B64" t="s">
        <v>24</v>
      </c>
      <c r="C64" t="s">
        <v>175</v>
      </c>
      <c r="D64" t="str">
        <f>TRIM(Tabulka1[[#This Row],[Jméno]])</f>
        <v>Jan</v>
      </c>
      <c r="E64" t="str">
        <f>TRIM(Tabulka1[[#This Row],[Příjmení]])</f>
        <v>Helesic</v>
      </c>
      <c r="F64" s="2" t="str">
        <f>MID(Tabulka1[[#This Row],[Adresa]],1,SEARCH(",",Tabulka1[[#This Row],[Adresa]])-1)</f>
        <v>Hamerská 395</v>
      </c>
      <c r="G64" s="2" t="str">
        <f>RIGHT(Tabulka1[[#This Row],[Adresa]],LEN(Tabulka1[[#This Row],[Adresa]])-LEN(Tabulka1[[#This Row],[Ulice]])-1)</f>
        <v>Rozsochatec</v>
      </c>
      <c r="H64" s="2" t="str">
        <f>_xlfn.CONCAT(LOWER(Tabulka1[[#This Row],[příjmení bez mezer]]),".",LOWER(Tabulka1[[#This Row],[Jmeno bez mezer]]),"@firmaabc.cz")</f>
        <v>helesic.jan@firmaabc.cz</v>
      </c>
      <c r="I64" s="2" t="str">
        <f>_xlfn.CONCAT(LOWER(LEFT(Tabulka1[[#This Row],[příjmení bez mezer]],3)),UPPER(RIGHT(Tabulka1[[#This Row],[Jmeno bez mezer]],2)))</f>
        <v>helAN</v>
      </c>
      <c r="J64" s="2" t="s">
        <v>1183</v>
      </c>
      <c r="K64" s="2" t="s">
        <v>1681</v>
      </c>
      <c r="L64" s="3" t="s">
        <v>2073</v>
      </c>
    </row>
    <row r="65" spans="1:12" ht="30" x14ac:dyDescent="0.25">
      <c r="A65" s="2" t="s">
        <v>176</v>
      </c>
      <c r="B65" t="s">
        <v>145</v>
      </c>
      <c r="C65" t="s">
        <v>141</v>
      </c>
      <c r="D65" t="str">
        <f>TRIM(Tabulka1[[#This Row],[Jméno]])</f>
        <v>Hana</v>
      </c>
      <c r="E65" t="str">
        <f>TRIM(Tabulka1[[#This Row],[Příjmení]])</f>
        <v>Kubatova</v>
      </c>
      <c r="F65" s="2" t="str">
        <f>MID(Tabulka1[[#This Row],[Adresa]],1,SEARCH(",",Tabulka1[[#This Row],[Adresa]])-1)</f>
        <v>Družstevní 139</v>
      </c>
      <c r="G65" s="2" t="str">
        <f>RIGHT(Tabulka1[[#This Row],[Adresa]],LEN(Tabulka1[[#This Row],[Adresa]])-LEN(Tabulka1[[#This Row],[Ulice]])-1)</f>
        <v>Brandýsek</v>
      </c>
      <c r="H65" s="2" t="str">
        <f>_xlfn.CONCAT(LOWER(Tabulka1[[#This Row],[příjmení bez mezer]]),".",LOWER(Tabulka1[[#This Row],[Jmeno bez mezer]]),"@firmaabc.cz")</f>
        <v>kubatova.hana@firmaabc.cz</v>
      </c>
      <c r="I65" s="2" t="str">
        <f>_xlfn.CONCAT(LOWER(LEFT(Tabulka1[[#This Row],[příjmení bez mezer]],3)),UPPER(RIGHT(Tabulka1[[#This Row],[Jmeno bez mezer]],2)))</f>
        <v>kubNA</v>
      </c>
      <c r="J65" s="2" t="s">
        <v>1184</v>
      </c>
      <c r="K65" s="2" t="s">
        <v>1682</v>
      </c>
      <c r="L65" s="3" t="s">
        <v>2074</v>
      </c>
    </row>
    <row r="66" spans="1:12" ht="30" x14ac:dyDescent="0.25">
      <c r="A66" s="2" t="s">
        <v>177</v>
      </c>
      <c r="B66" t="s">
        <v>178</v>
      </c>
      <c r="C66" t="s">
        <v>179</v>
      </c>
      <c r="D66" t="str">
        <f>TRIM(Tabulka1[[#This Row],[Jméno]])</f>
        <v>Jaroslav</v>
      </c>
      <c r="E66" t="str">
        <f>TRIM(Tabulka1[[#This Row],[Příjmení]])</f>
        <v>Matejcek</v>
      </c>
      <c r="F66" s="2" t="str">
        <f>MID(Tabulka1[[#This Row],[Adresa]],1,SEARCH(",",Tabulka1[[#This Row],[Adresa]])-1)</f>
        <v>Pivovarská 1809</v>
      </c>
      <c r="G66" s="2" t="str">
        <f>RIGHT(Tabulka1[[#This Row],[Adresa]],LEN(Tabulka1[[#This Row],[Adresa]])-LEN(Tabulka1[[#This Row],[Ulice]])-1)</f>
        <v>Lovosice 2</v>
      </c>
      <c r="H66" s="2" t="str">
        <f>_xlfn.CONCAT(LOWER(Tabulka1[[#This Row],[příjmení bez mezer]]),".",LOWER(Tabulka1[[#This Row],[Jmeno bez mezer]]),"@firmaabc.cz")</f>
        <v>matejcek.jaroslav@firmaabc.cz</v>
      </c>
      <c r="I66" s="2" t="str">
        <f>_xlfn.CONCAT(LOWER(LEFT(Tabulka1[[#This Row],[příjmení bez mezer]],3)),UPPER(RIGHT(Tabulka1[[#This Row],[Jmeno bez mezer]],2)))</f>
        <v>matAV</v>
      </c>
      <c r="J66" s="2" t="s">
        <v>1185</v>
      </c>
      <c r="K66" s="2" t="s">
        <v>1683</v>
      </c>
      <c r="L66" s="3" t="s">
        <v>2075</v>
      </c>
    </row>
    <row r="67" spans="1:12" ht="30" x14ac:dyDescent="0.25">
      <c r="A67" s="2" t="s">
        <v>180</v>
      </c>
      <c r="B67" t="s">
        <v>181</v>
      </c>
      <c r="C67" t="s">
        <v>182</v>
      </c>
      <c r="D67" t="str">
        <f>TRIM(Tabulka1[[#This Row],[Jméno]])</f>
        <v>Kamil</v>
      </c>
      <c r="E67" t="str">
        <f>TRIM(Tabulka1[[#This Row],[Příjmení]])</f>
        <v>Janecek</v>
      </c>
      <c r="F67" s="2" t="str">
        <f>MID(Tabulka1[[#This Row],[Adresa]],1,SEARCH(",",Tabulka1[[#This Row],[Adresa]])-1)</f>
        <v>Palackého 693</v>
      </c>
      <c r="G67" s="2" t="str">
        <f>RIGHT(Tabulka1[[#This Row],[Adresa]],LEN(Tabulka1[[#This Row],[Adresa]])-LEN(Tabulka1[[#This Row],[Ulice]])-1)</f>
        <v>Holešov</v>
      </c>
      <c r="H67" s="2" t="str">
        <f>_xlfn.CONCAT(LOWER(Tabulka1[[#This Row],[příjmení bez mezer]]),".",LOWER(Tabulka1[[#This Row],[Jmeno bez mezer]]),"@firmaabc.cz")</f>
        <v>janecek.kamil@firmaabc.cz</v>
      </c>
      <c r="I67" s="2" t="str">
        <f>_xlfn.CONCAT(LOWER(LEFT(Tabulka1[[#This Row],[příjmení bez mezer]],3)),UPPER(RIGHT(Tabulka1[[#This Row],[Jmeno bez mezer]],2)))</f>
        <v>janIL</v>
      </c>
      <c r="J67" s="2" t="s">
        <v>1186</v>
      </c>
      <c r="K67" s="2" t="s">
        <v>1684</v>
      </c>
      <c r="L67" s="3" t="s">
        <v>2076</v>
      </c>
    </row>
    <row r="68" spans="1:12" ht="30" x14ac:dyDescent="0.25">
      <c r="A68" s="2" t="s">
        <v>183</v>
      </c>
      <c r="B68" t="s">
        <v>145</v>
      </c>
      <c r="C68" t="s">
        <v>184</v>
      </c>
      <c r="D68" t="str">
        <f>TRIM(Tabulka1[[#This Row],[Jméno]])</f>
        <v>Hana</v>
      </c>
      <c r="E68" t="str">
        <f>TRIM(Tabulka1[[#This Row],[Příjmení]])</f>
        <v>Prusova</v>
      </c>
      <c r="F68" s="2" t="str">
        <f>MID(Tabulka1[[#This Row],[Adresa]],1,SEARCH(",",Tabulka1[[#This Row],[Adresa]])-1)</f>
        <v>Palackého 537</v>
      </c>
      <c r="G68" s="2" t="str">
        <f>RIGHT(Tabulka1[[#This Row],[Adresa]],LEN(Tabulka1[[#This Row],[Adresa]])-LEN(Tabulka1[[#This Row],[Ulice]])-1)</f>
        <v>Holešov</v>
      </c>
      <c r="H68" s="2" t="str">
        <f>_xlfn.CONCAT(LOWER(Tabulka1[[#This Row],[příjmení bez mezer]]),".",LOWER(Tabulka1[[#This Row],[Jmeno bez mezer]]),"@firmaabc.cz")</f>
        <v>prusova.hana@firmaabc.cz</v>
      </c>
      <c r="I68" s="2" t="str">
        <f>_xlfn.CONCAT(LOWER(LEFT(Tabulka1[[#This Row],[příjmení bez mezer]],3)),UPPER(RIGHT(Tabulka1[[#This Row],[Jmeno bez mezer]],2)))</f>
        <v>pruNA</v>
      </c>
      <c r="J68" s="2" t="s">
        <v>1187</v>
      </c>
      <c r="K68" s="2" t="s">
        <v>1684</v>
      </c>
      <c r="L68" s="3" t="s">
        <v>2077</v>
      </c>
    </row>
    <row r="69" spans="1:12" ht="45" x14ac:dyDescent="0.25">
      <c r="A69" s="2" t="s">
        <v>185</v>
      </c>
      <c r="B69" t="s">
        <v>186</v>
      </c>
      <c r="C69" t="s">
        <v>187</v>
      </c>
      <c r="D69" t="str">
        <f>TRIM(Tabulka1[[#This Row],[Jméno]])</f>
        <v>Radek</v>
      </c>
      <c r="E69" t="str">
        <f>TRIM(Tabulka1[[#This Row],[Příjmení]])</f>
        <v>Jelinek</v>
      </c>
      <c r="F69" s="2" t="str">
        <f>MID(Tabulka1[[#This Row],[Adresa]],1,SEARCH(",",Tabulka1[[#This Row],[Adresa]])-1)</f>
        <v>Bedřicha Smetany 1206</v>
      </c>
      <c r="G69" s="2" t="str">
        <f>RIGHT(Tabulka1[[#This Row],[Adresa]],LEN(Tabulka1[[#This Row],[Adresa]])-LEN(Tabulka1[[#This Row],[Ulice]])-1)</f>
        <v>Jalubí</v>
      </c>
      <c r="H69" s="2" t="str">
        <f>_xlfn.CONCAT(LOWER(Tabulka1[[#This Row],[příjmení bez mezer]]),".",LOWER(Tabulka1[[#This Row],[Jmeno bez mezer]]),"@firmaabc.cz")</f>
        <v>jelinek.radek@firmaabc.cz</v>
      </c>
      <c r="I69" s="2" t="str">
        <f>_xlfn.CONCAT(LOWER(LEFT(Tabulka1[[#This Row],[příjmení bez mezer]],3)),UPPER(RIGHT(Tabulka1[[#This Row],[Jmeno bez mezer]],2)))</f>
        <v>jelEK</v>
      </c>
      <c r="J69" s="2" t="s">
        <v>1188</v>
      </c>
      <c r="K69" s="2" t="s">
        <v>1685</v>
      </c>
      <c r="L69" s="3" t="s">
        <v>2078</v>
      </c>
    </row>
    <row r="70" spans="1:12" ht="30" x14ac:dyDescent="0.25">
      <c r="A70" s="2" t="s">
        <v>188</v>
      </c>
      <c r="B70" t="s">
        <v>189</v>
      </c>
      <c r="C70" t="s">
        <v>190</v>
      </c>
      <c r="D70" t="str">
        <f>TRIM(Tabulka1[[#This Row],[Jméno]])</f>
        <v>Jana</v>
      </c>
      <c r="E70" t="str">
        <f>TRIM(Tabulka1[[#This Row],[Příjmení]])</f>
        <v>Moravcova</v>
      </c>
      <c r="F70" s="2" t="str">
        <f>MID(Tabulka1[[#This Row],[Adresa]],1,SEARCH(",",Tabulka1[[#This Row],[Adresa]])-1)</f>
        <v>K Lukárně 1529</v>
      </c>
      <c r="G70" s="2" t="str">
        <f>RIGHT(Tabulka1[[#This Row],[Adresa]],LEN(Tabulka1[[#This Row],[Adresa]])-LEN(Tabulka1[[#This Row],[Ulice]])-1)</f>
        <v>Zajecov</v>
      </c>
      <c r="H70" s="2" t="str">
        <f>_xlfn.CONCAT(LOWER(Tabulka1[[#This Row],[příjmení bez mezer]]),".",LOWER(Tabulka1[[#This Row],[Jmeno bez mezer]]),"@firmaabc.cz")</f>
        <v>moravcova.jana@firmaabc.cz</v>
      </c>
      <c r="I70" s="2" t="str">
        <f>_xlfn.CONCAT(LOWER(LEFT(Tabulka1[[#This Row],[příjmení bez mezer]],3)),UPPER(RIGHT(Tabulka1[[#This Row],[Jmeno bez mezer]],2)))</f>
        <v>morNA</v>
      </c>
      <c r="J70" s="2" t="s">
        <v>1189</v>
      </c>
      <c r="K70" s="2" t="s">
        <v>1686</v>
      </c>
      <c r="L70" s="3" t="s">
        <v>2079</v>
      </c>
    </row>
    <row r="71" spans="1:12" ht="30" x14ac:dyDescent="0.25">
      <c r="A71" s="2" t="s">
        <v>191</v>
      </c>
      <c r="B71" t="s">
        <v>70</v>
      </c>
      <c r="C71" t="s">
        <v>192</v>
      </c>
      <c r="D71" t="str">
        <f>TRIM(Tabulka1[[#This Row],[Jméno]])</f>
        <v>Jakub</v>
      </c>
      <c r="E71" t="str">
        <f>TRIM(Tabulka1[[#This Row],[Příjmení]])</f>
        <v>Komarek</v>
      </c>
      <c r="F71" s="2" t="str">
        <f>MID(Tabulka1[[#This Row],[Adresa]],1,SEARCH(",",Tabulka1[[#This Row],[Adresa]])-1)</f>
        <v>Partyzánská 31</v>
      </c>
      <c r="G71" s="2" t="str">
        <f>RIGHT(Tabulka1[[#This Row],[Adresa]],LEN(Tabulka1[[#This Row],[Adresa]])-LEN(Tabulka1[[#This Row],[Ulice]])-1)</f>
        <v>Nesovice</v>
      </c>
      <c r="H71" s="2" t="str">
        <f>_xlfn.CONCAT(LOWER(Tabulka1[[#This Row],[příjmení bez mezer]]),".",LOWER(Tabulka1[[#This Row],[Jmeno bez mezer]]),"@firmaabc.cz")</f>
        <v>komarek.jakub@firmaabc.cz</v>
      </c>
      <c r="I71" s="2" t="str">
        <f>_xlfn.CONCAT(LOWER(LEFT(Tabulka1[[#This Row],[příjmení bez mezer]],3)),UPPER(RIGHT(Tabulka1[[#This Row],[Jmeno bez mezer]],2)))</f>
        <v>komUB</v>
      </c>
      <c r="J71" s="2" t="s">
        <v>1190</v>
      </c>
      <c r="K71" s="2" t="s">
        <v>1687</v>
      </c>
      <c r="L71" s="3" t="s">
        <v>2080</v>
      </c>
    </row>
    <row r="72" spans="1:12" x14ac:dyDescent="0.25">
      <c r="A72" s="2" t="s">
        <v>193</v>
      </c>
      <c r="B72" t="s">
        <v>145</v>
      </c>
      <c r="C72" t="s">
        <v>194</v>
      </c>
      <c r="D72" t="str">
        <f>TRIM(Tabulka1[[#This Row],[Jméno]])</f>
        <v>Hana</v>
      </c>
      <c r="E72" t="str">
        <f>TRIM(Tabulka1[[#This Row],[Příjmení]])</f>
        <v>Miklikova</v>
      </c>
      <c r="F72" s="2" t="str">
        <f>MID(Tabulka1[[#This Row],[Adresa]],1,SEARCH(",",Tabulka1[[#This Row],[Adresa]])-1)</f>
        <v>Školní 1013</v>
      </c>
      <c r="G72" s="2" t="str">
        <f>RIGHT(Tabulka1[[#This Row],[Adresa]],LEN(Tabulka1[[#This Row],[Adresa]])-LEN(Tabulka1[[#This Row],[Ulice]])-1)</f>
        <v>Kaplice 1</v>
      </c>
      <c r="H72" s="2" t="str">
        <f>_xlfn.CONCAT(LOWER(Tabulka1[[#This Row],[příjmení bez mezer]]),".",LOWER(Tabulka1[[#This Row],[Jmeno bez mezer]]),"@firmaabc.cz")</f>
        <v>miklikova.hana@firmaabc.cz</v>
      </c>
      <c r="I72" s="2" t="str">
        <f>_xlfn.CONCAT(LOWER(LEFT(Tabulka1[[#This Row],[příjmení bez mezer]],3)),UPPER(RIGHT(Tabulka1[[#This Row],[Jmeno bez mezer]],2)))</f>
        <v>mikNA</v>
      </c>
      <c r="J72" s="2" t="s">
        <v>1191</v>
      </c>
      <c r="K72" s="2" t="s">
        <v>1630</v>
      </c>
      <c r="L72" s="3" t="s">
        <v>2081</v>
      </c>
    </row>
    <row r="73" spans="1:12" ht="30" x14ac:dyDescent="0.25">
      <c r="A73" s="2" t="s">
        <v>195</v>
      </c>
      <c r="B73" t="s">
        <v>88</v>
      </c>
      <c r="C73" t="s">
        <v>196</v>
      </c>
      <c r="D73" t="str">
        <f>TRIM(Tabulka1[[#This Row],[Jméno]])</f>
        <v>Pavel</v>
      </c>
      <c r="E73" t="str">
        <f>TRIM(Tabulka1[[#This Row],[Příjmení]])</f>
        <v>Stursa</v>
      </c>
      <c r="F73" s="2" t="str">
        <f>MID(Tabulka1[[#This Row],[Adresa]],1,SEARCH(",",Tabulka1[[#This Row],[Adresa]])-1)</f>
        <v>Spojovací 703</v>
      </c>
      <c r="G73" s="2" t="str">
        <f>RIGHT(Tabulka1[[#This Row],[Adresa]],LEN(Tabulka1[[#This Row],[Adresa]])-LEN(Tabulka1[[#This Row],[Ulice]])-1)</f>
        <v>Knežice u Trebíce</v>
      </c>
      <c r="H73" s="2" t="str">
        <f>_xlfn.CONCAT(LOWER(Tabulka1[[#This Row],[příjmení bez mezer]]),".",LOWER(Tabulka1[[#This Row],[Jmeno bez mezer]]),"@firmaabc.cz")</f>
        <v>stursa.pavel@firmaabc.cz</v>
      </c>
      <c r="I73" s="2" t="str">
        <f>_xlfn.CONCAT(LOWER(LEFT(Tabulka1[[#This Row],[příjmení bez mezer]],3)),UPPER(RIGHT(Tabulka1[[#This Row],[Jmeno bez mezer]],2)))</f>
        <v>stuEL</v>
      </c>
      <c r="J73" s="2" t="s">
        <v>1192</v>
      </c>
      <c r="K73" s="2" t="s">
        <v>1688</v>
      </c>
      <c r="L73" s="3" t="s">
        <v>2082</v>
      </c>
    </row>
    <row r="74" spans="1:12" ht="30" x14ac:dyDescent="0.25">
      <c r="A74" s="2" t="s">
        <v>197</v>
      </c>
      <c r="B74" t="s">
        <v>96</v>
      </c>
      <c r="C74" t="s">
        <v>198</v>
      </c>
      <c r="D74" t="str">
        <f>TRIM(Tabulka1[[#This Row],[Jméno]])</f>
        <v>Lukas</v>
      </c>
      <c r="E74" t="str">
        <f>TRIM(Tabulka1[[#This Row],[Příjmení]])</f>
        <v>Trcka</v>
      </c>
      <c r="F74" s="2" t="str">
        <f>MID(Tabulka1[[#This Row],[Adresa]],1,SEARCH(",",Tabulka1[[#This Row],[Adresa]])-1)</f>
        <v>U Křížku 1246</v>
      </c>
      <c r="G74" s="2" t="str">
        <f>RIGHT(Tabulka1[[#This Row],[Adresa]],LEN(Tabulka1[[#This Row],[Adresa]])-LEN(Tabulka1[[#This Row],[Ulice]])-1)</f>
        <v>Pencín u Liberce</v>
      </c>
      <c r="H74" s="2" t="str">
        <f>_xlfn.CONCAT(LOWER(Tabulka1[[#This Row],[příjmení bez mezer]]),".",LOWER(Tabulka1[[#This Row],[Jmeno bez mezer]]),"@firmaabc.cz")</f>
        <v>trcka.lukas@firmaabc.cz</v>
      </c>
      <c r="I74" s="2" t="str">
        <f>_xlfn.CONCAT(LOWER(LEFT(Tabulka1[[#This Row],[příjmení bez mezer]],3)),UPPER(RIGHT(Tabulka1[[#This Row],[Jmeno bez mezer]],2)))</f>
        <v>trcAS</v>
      </c>
      <c r="J74" s="2" t="s">
        <v>1193</v>
      </c>
      <c r="K74" s="2" t="s">
        <v>1689</v>
      </c>
      <c r="L74" s="3" t="s">
        <v>2083</v>
      </c>
    </row>
    <row r="75" spans="1:12" ht="45" x14ac:dyDescent="0.25">
      <c r="A75" s="2" t="s">
        <v>199</v>
      </c>
      <c r="B75" t="s">
        <v>85</v>
      </c>
      <c r="C75" t="s">
        <v>200</v>
      </c>
      <c r="D75" t="str">
        <f>TRIM(Tabulka1[[#This Row],[Jméno]])</f>
        <v>Martin</v>
      </c>
      <c r="E75" t="str">
        <f>TRIM(Tabulka1[[#This Row],[Příjmení]])</f>
        <v>?Novak</v>
      </c>
      <c r="F75" s="2" t="str">
        <f>MID(Tabulka1[[#This Row],[Adresa]],1,SEARCH(",",Tabulka1[[#This Row],[Adresa]])-1)</f>
        <v>V Trávníkách 1081</v>
      </c>
      <c r="G75" s="2" t="str">
        <f>RIGHT(Tabulka1[[#This Row],[Adresa]],LEN(Tabulka1[[#This Row],[Adresa]])-LEN(Tabulka1[[#This Row],[Ulice]])-1)</f>
        <v>Tanvald</v>
      </c>
      <c r="H75" s="2" t="str">
        <f>_xlfn.CONCAT(LOWER(Tabulka1[[#This Row],[příjmení bez mezer]]),".",LOWER(Tabulka1[[#This Row],[Jmeno bez mezer]]),"@firmaabc.cz")</f>
        <v>?novak.martin@firmaabc.cz</v>
      </c>
      <c r="I75" s="2" t="str">
        <f>_xlfn.CONCAT(LOWER(LEFT(Tabulka1[[#This Row],[příjmení bez mezer]],3)),UPPER(RIGHT(Tabulka1[[#This Row],[Jmeno bez mezer]],2)))</f>
        <v>?noIN</v>
      </c>
      <c r="J75" s="2" t="s">
        <v>1194</v>
      </c>
      <c r="K75" s="2" t="s">
        <v>1690</v>
      </c>
      <c r="L75" s="3" t="s">
        <v>2084</v>
      </c>
    </row>
    <row r="76" spans="1:12" ht="30" x14ac:dyDescent="0.25">
      <c r="A76" s="2" t="s">
        <v>201</v>
      </c>
      <c r="B76" t="s">
        <v>202</v>
      </c>
      <c r="C76" t="s">
        <v>203</v>
      </c>
      <c r="D76" t="str">
        <f>TRIM(Tabulka1[[#This Row],[Jméno]])</f>
        <v>Regina</v>
      </c>
      <c r="E76" t="str">
        <f>TRIM(Tabulka1[[#This Row],[Příjmení]])</f>
        <v>Martinkova</v>
      </c>
      <c r="F76" s="2" t="str">
        <f>MID(Tabulka1[[#This Row],[Adresa]],1,SEARCH(",",Tabulka1[[#This Row],[Adresa]])-1)</f>
        <v>Na Výsluní 202</v>
      </c>
      <c r="G76" s="2" t="str">
        <f>RIGHT(Tabulka1[[#This Row],[Adresa]],LEN(Tabulka1[[#This Row],[Adresa]])-LEN(Tabulka1[[#This Row],[Ulice]])-1)</f>
        <v>Stríbro</v>
      </c>
      <c r="H76" s="2" t="str">
        <f>_xlfn.CONCAT(LOWER(Tabulka1[[#This Row],[příjmení bez mezer]]),".",LOWER(Tabulka1[[#This Row],[Jmeno bez mezer]]),"@firmaabc.cz")</f>
        <v>martinkova.regina@firmaabc.cz</v>
      </c>
      <c r="I76" s="2" t="str">
        <f>_xlfn.CONCAT(LOWER(LEFT(Tabulka1[[#This Row],[příjmení bez mezer]],3)),UPPER(RIGHT(Tabulka1[[#This Row],[Jmeno bez mezer]],2)))</f>
        <v>marNA</v>
      </c>
      <c r="J76" s="2" t="s">
        <v>1195</v>
      </c>
      <c r="K76" s="2" t="s">
        <v>1691</v>
      </c>
      <c r="L76" s="3" t="s">
        <v>2085</v>
      </c>
    </row>
    <row r="77" spans="1:12" ht="45" x14ac:dyDescent="0.25">
      <c r="A77" s="2" t="s">
        <v>204</v>
      </c>
      <c r="B77" t="s">
        <v>205</v>
      </c>
      <c r="C77" t="s">
        <v>206</v>
      </c>
      <c r="D77" t="str">
        <f>TRIM(Tabulka1[[#This Row],[Jméno]])</f>
        <v>Rudolf</v>
      </c>
      <c r="E77" t="str">
        <f>TRIM(Tabulka1[[#This Row],[Příjmení]])</f>
        <v>Polach</v>
      </c>
      <c r="F77" s="2" t="str">
        <f>MID(Tabulka1[[#This Row],[Adresa]],1,SEARCH(",",Tabulka1[[#This Row],[Adresa]])-1)</f>
        <v>Matiegkova 615</v>
      </c>
      <c r="G77" s="2" t="str">
        <f>RIGHT(Tabulka1[[#This Row],[Adresa]],LEN(Tabulka1[[#This Row],[Adresa]])-LEN(Tabulka1[[#This Row],[Ulice]])-1)</f>
        <v>Porící nad Sázavou</v>
      </c>
      <c r="H77" s="2" t="str">
        <f>_xlfn.CONCAT(LOWER(Tabulka1[[#This Row],[příjmení bez mezer]]),".",LOWER(Tabulka1[[#This Row],[Jmeno bez mezer]]),"@firmaabc.cz")</f>
        <v>polach.rudolf@firmaabc.cz</v>
      </c>
      <c r="I77" s="2" t="str">
        <f>_xlfn.CONCAT(LOWER(LEFT(Tabulka1[[#This Row],[příjmení bez mezer]],3)),UPPER(RIGHT(Tabulka1[[#This Row],[Jmeno bez mezer]],2)))</f>
        <v>polLF</v>
      </c>
      <c r="J77" s="2" t="s">
        <v>1196</v>
      </c>
      <c r="K77" s="2" t="s">
        <v>1692</v>
      </c>
      <c r="L77" s="3" t="s">
        <v>2086</v>
      </c>
    </row>
    <row r="78" spans="1:12" ht="30" x14ac:dyDescent="0.25">
      <c r="A78" s="2" t="s">
        <v>207</v>
      </c>
      <c r="B78" t="s">
        <v>73</v>
      </c>
      <c r="C78" t="s">
        <v>208</v>
      </c>
      <c r="D78" t="str">
        <f>TRIM(Tabulka1[[#This Row],[Jméno]])</f>
        <v>Daniel</v>
      </c>
      <c r="E78" t="str">
        <f>TRIM(Tabulka1[[#This Row],[Příjmení]])</f>
        <v>Palek</v>
      </c>
      <c r="F78" s="2" t="str">
        <f>MID(Tabulka1[[#This Row],[Adresa]],1,SEARCH(",",Tabulka1[[#This Row],[Adresa]])-1)</f>
        <v>Dělnická 1705</v>
      </c>
      <c r="G78" s="2" t="str">
        <f>RIGHT(Tabulka1[[#This Row],[Adresa]],LEN(Tabulka1[[#This Row],[Adresa]])-LEN(Tabulka1[[#This Row],[Ulice]])-1)</f>
        <v>Zdechov</v>
      </c>
      <c r="H78" s="2" t="str">
        <f>_xlfn.CONCAT(LOWER(Tabulka1[[#This Row],[příjmení bez mezer]]),".",LOWER(Tabulka1[[#This Row],[Jmeno bez mezer]]),"@firmaabc.cz")</f>
        <v>palek.daniel@firmaabc.cz</v>
      </c>
      <c r="I78" s="2" t="str">
        <f>_xlfn.CONCAT(LOWER(LEFT(Tabulka1[[#This Row],[příjmení bez mezer]],3)),UPPER(RIGHT(Tabulka1[[#This Row],[Jmeno bez mezer]],2)))</f>
        <v>palEL</v>
      </c>
      <c r="J78" s="2" t="s">
        <v>1197</v>
      </c>
      <c r="K78" s="2" t="s">
        <v>1693</v>
      </c>
      <c r="L78" s="3" t="s">
        <v>2087</v>
      </c>
    </row>
    <row r="79" spans="1:12" ht="45" x14ac:dyDescent="0.25">
      <c r="A79" s="2" t="s">
        <v>209</v>
      </c>
      <c r="B79" t="s">
        <v>210</v>
      </c>
      <c r="C79" t="s">
        <v>211</v>
      </c>
      <c r="D79" t="str">
        <f>TRIM(Tabulka1[[#This Row],[Jméno]])</f>
        <v>Petr</v>
      </c>
      <c r="E79" t="str">
        <f>TRIM(Tabulka1[[#This Row],[Příjmení]])</f>
        <v>?Kucera</v>
      </c>
      <c r="F79" s="2" t="str">
        <f>MID(Tabulka1[[#This Row],[Adresa]],1,SEARCH(",",Tabulka1[[#This Row],[Adresa]])-1)</f>
        <v>Na Výsluní 1896</v>
      </c>
      <c r="G79" s="2" t="str">
        <f>RIGHT(Tabulka1[[#This Row],[Adresa]],LEN(Tabulka1[[#This Row],[Adresa]])-LEN(Tabulka1[[#This Row],[Ulice]])-1)</f>
        <v>Vrané nad Vltavou</v>
      </c>
      <c r="H79" s="2" t="str">
        <f>_xlfn.CONCAT(LOWER(Tabulka1[[#This Row],[příjmení bez mezer]]),".",LOWER(Tabulka1[[#This Row],[Jmeno bez mezer]]),"@firmaabc.cz")</f>
        <v>?kucera.petr@firmaabc.cz</v>
      </c>
      <c r="I79" s="2" t="str">
        <f>_xlfn.CONCAT(LOWER(LEFT(Tabulka1[[#This Row],[příjmení bez mezer]],3)),UPPER(RIGHT(Tabulka1[[#This Row],[Jmeno bez mezer]],2)))</f>
        <v>?kuTR</v>
      </c>
      <c r="J79" s="2" t="s">
        <v>1198</v>
      </c>
      <c r="K79" s="2" t="s">
        <v>1694</v>
      </c>
      <c r="L79" s="3" t="s">
        <v>2088</v>
      </c>
    </row>
    <row r="80" spans="1:12" ht="45" x14ac:dyDescent="0.25">
      <c r="A80" s="2" t="s">
        <v>212</v>
      </c>
      <c r="B80" t="s">
        <v>170</v>
      </c>
      <c r="C80" t="s">
        <v>213</v>
      </c>
      <c r="D80" t="str">
        <f>TRIM(Tabulka1[[#This Row],[Jméno]])</f>
        <v>David</v>
      </c>
      <c r="E80" t="str">
        <f>TRIM(Tabulka1[[#This Row],[Příjmení]])</f>
        <v>Kratochvil</v>
      </c>
      <c r="F80" s="2" t="str">
        <f>MID(Tabulka1[[#This Row],[Adresa]],1,SEARCH(",",Tabulka1[[#This Row],[Adresa]])-1)</f>
        <v>Jiřího z Poděbrad 562</v>
      </c>
      <c r="G80" s="2" t="str">
        <f>RIGHT(Tabulka1[[#This Row],[Adresa]],LEN(Tabulka1[[#This Row],[Adresa]])-LEN(Tabulka1[[#This Row],[Ulice]])-1)</f>
        <v>Jiretín pod Jedlovou</v>
      </c>
      <c r="H80" s="2" t="str">
        <f>_xlfn.CONCAT(LOWER(Tabulka1[[#This Row],[příjmení bez mezer]]),".",LOWER(Tabulka1[[#This Row],[Jmeno bez mezer]]),"@firmaabc.cz")</f>
        <v>kratochvil.david@firmaabc.cz</v>
      </c>
      <c r="I80" s="2" t="str">
        <f>_xlfn.CONCAT(LOWER(LEFT(Tabulka1[[#This Row],[příjmení bez mezer]],3)),UPPER(RIGHT(Tabulka1[[#This Row],[Jmeno bez mezer]],2)))</f>
        <v>kraID</v>
      </c>
      <c r="J80" s="2" t="s">
        <v>1199</v>
      </c>
      <c r="K80" s="2" t="s">
        <v>1695</v>
      </c>
      <c r="L80" s="3" t="s">
        <v>2089</v>
      </c>
    </row>
    <row r="81" spans="1:12" ht="30" x14ac:dyDescent="0.25">
      <c r="A81" s="2" t="s">
        <v>214</v>
      </c>
      <c r="B81" t="s">
        <v>160</v>
      </c>
      <c r="C81" t="s">
        <v>215</v>
      </c>
      <c r="D81" t="str">
        <f>TRIM(Tabulka1[[#This Row],[Jméno]])</f>
        <v>Jaroslava</v>
      </c>
      <c r="E81" t="str">
        <f>TRIM(Tabulka1[[#This Row],[Příjmení]])</f>
        <v>Ruzickova</v>
      </c>
      <c r="F81" s="2" t="str">
        <f>MID(Tabulka1[[#This Row],[Adresa]],1,SEARCH(",",Tabulka1[[#This Row],[Adresa]])-1)</f>
        <v>Bártova 1719</v>
      </c>
      <c r="G81" s="2" t="str">
        <f>RIGHT(Tabulka1[[#This Row],[Adresa]],LEN(Tabulka1[[#This Row],[Adresa]])-LEN(Tabulka1[[#This Row],[Ulice]])-1)</f>
        <v>Svitávka</v>
      </c>
      <c r="H81" s="2" t="str">
        <f>_xlfn.CONCAT(LOWER(Tabulka1[[#This Row],[příjmení bez mezer]]),".",LOWER(Tabulka1[[#This Row],[Jmeno bez mezer]]),"@firmaabc.cz")</f>
        <v>ruzickova.jaroslava@firmaabc.cz</v>
      </c>
      <c r="I81" s="2" t="str">
        <f>_xlfn.CONCAT(LOWER(LEFT(Tabulka1[[#This Row],[příjmení bez mezer]],3)),UPPER(RIGHT(Tabulka1[[#This Row],[Jmeno bez mezer]],2)))</f>
        <v>ruzVA</v>
      </c>
      <c r="J81" s="2" t="s">
        <v>1200</v>
      </c>
      <c r="K81" s="2" t="s">
        <v>1696</v>
      </c>
      <c r="L81" s="3" t="s">
        <v>2090</v>
      </c>
    </row>
    <row r="82" spans="1:12" ht="45" x14ac:dyDescent="0.25">
      <c r="A82" s="2" t="s">
        <v>216</v>
      </c>
      <c r="B82" t="s">
        <v>217</v>
      </c>
      <c r="C82" t="s">
        <v>218</v>
      </c>
      <c r="D82" t="str">
        <f>TRIM(Tabulka1[[#This Row],[Jméno]])</f>
        <v>Marek</v>
      </c>
      <c r="E82" t="str">
        <f>TRIM(Tabulka1[[#This Row],[Příjmení]])</f>
        <v>Volf</v>
      </c>
      <c r="F82" s="2" t="str">
        <f>MID(Tabulka1[[#This Row],[Adresa]],1,SEARCH(",",Tabulka1[[#This Row],[Adresa]])-1)</f>
        <v>Dobrovského 1514</v>
      </c>
      <c r="G82" s="2" t="str">
        <f>RIGHT(Tabulka1[[#This Row],[Adresa]],LEN(Tabulka1[[#This Row],[Adresa]])-LEN(Tabulka1[[#This Row],[Ulice]])-1)</f>
        <v>Moravský Krumlov</v>
      </c>
      <c r="H82" s="2" t="str">
        <f>_xlfn.CONCAT(LOWER(Tabulka1[[#This Row],[příjmení bez mezer]]),".",LOWER(Tabulka1[[#This Row],[Jmeno bez mezer]]),"@firmaabc.cz")</f>
        <v>volf.marek@firmaabc.cz</v>
      </c>
      <c r="I82" s="2" t="str">
        <f>_xlfn.CONCAT(LOWER(LEFT(Tabulka1[[#This Row],[příjmení bez mezer]],3)),UPPER(RIGHT(Tabulka1[[#This Row],[Jmeno bez mezer]],2)))</f>
        <v>volEK</v>
      </c>
      <c r="J82" s="2" t="s">
        <v>1201</v>
      </c>
      <c r="K82" s="2" t="s">
        <v>1697</v>
      </c>
      <c r="L82" s="3" t="s">
        <v>2091</v>
      </c>
    </row>
    <row r="83" spans="1:12" ht="45" x14ac:dyDescent="0.25">
      <c r="A83" s="2" t="s">
        <v>219</v>
      </c>
      <c r="B83" t="s">
        <v>42</v>
      </c>
      <c r="C83" t="s">
        <v>220</v>
      </c>
      <c r="D83" t="str">
        <f>TRIM(Tabulka1[[#This Row],[Jméno]])</f>
        <v>Marie</v>
      </c>
      <c r="E83" t="str">
        <f>TRIM(Tabulka1[[#This Row],[Příjmení]])</f>
        <v>Cahlikova</v>
      </c>
      <c r="F83" s="2" t="str">
        <f>MID(Tabulka1[[#This Row],[Adresa]],1,SEARCH(",",Tabulka1[[#This Row],[Adresa]])-1)</f>
        <v>Hrubínova 1533</v>
      </c>
      <c r="G83" s="2" t="str">
        <f>RIGHT(Tabulka1[[#This Row],[Adresa]],LEN(Tabulka1[[#This Row],[Adresa]])-LEN(Tabulka1[[#This Row],[Ulice]])-1)</f>
        <v>Vrchotovy Janovice</v>
      </c>
      <c r="H83" s="2" t="str">
        <f>_xlfn.CONCAT(LOWER(Tabulka1[[#This Row],[příjmení bez mezer]]),".",LOWER(Tabulka1[[#This Row],[Jmeno bez mezer]]),"@firmaabc.cz")</f>
        <v>cahlikova.marie@firmaabc.cz</v>
      </c>
      <c r="I83" s="2" t="str">
        <f>_xlfn.CONCAT(LOWER(LEFT(Tabulka1[[#This Row],[příjmení bez mezer]],3)),UPPER(RIGHT(Tabulka1[[#This Row],[Jmeno bez mezer]],2)))</f>
        <v>cahIE</v>
      </c>
      <c r="J83" s="2" t="s">
        <v>1202</v>
      </c>
      <c r="K83" s="2" t="s">
        <v>1698</v>
      </c>
      <c r="L83" s="3" t="s">
        <v>2092</v>
      </c>
    </row>
    <row r="84" spans="1:12" ht="30" x14ac:dyDescent="0.25">
      <c r="A84" s="2" t="s">
        <v>221</v>
      </c>
      <c r="B84" t="s">
        <v>222</v>
      </c>
      <c r="C84" t="s">
        <v>223</v>
      </c>
      <c r="D84" t="str">
        <f>TRIM(Tabulka1[[#This Row],[Jméno]])</f>
        <v>Nada</v>
      </c>
      <c r="E84" t="str">
        <f>TRIM(Tabulka1[[#This Row],[Příjmení]])</f>
        <v>Mudrova</v>
      </c>
      <c r="F84" s="2" t="str">
        <f>MID(Tabulka1[[#This Row],[Adresa]],1,SEARCH(",",Tabulka1[[#This Row],[Adresa]])-1)</f>
        <v>Vrchlického 1487</v>
      </c>
      <c r="G84" s="2" t="str">
        <f>RIGHT(Tabulka1[[#This Row],[Adresa]],LEN(Tabulka1[[#This Row],[Adresa]])-LEN(Tabulka1[[#This Row],[Ulice]])-1)</f>
        <v>Predklášterí</v>
      </c>
      <c r="H84" s="2" t="str">
        <f>_xlfn.CONCAT(LOWER(Tabulka1[[#This Row],[příjmení bez mezer]]),".",LOWER(Tabulka1[[#This Row],[Jmeno bez mezer]]),"@firmaabc.cz")</f>
        <v>mudrova.nada@firmaabc.cz</v>
      </c>
      <c r="I84" s="2" t="str">
        <f>_xlfn.CONCAT(LOWER(LEFT(Tabulka1[[#This Row],[příjmení bez mezer]],3)),UPPER(RIGHT(Tabulka1[[#This Row],[Jmeno bez mezer]],2)))</f>
        <v>mudDA</v>
      </c>
      <c r="J84" s="2" t="s">
        <v>1203</v>
      </c>
      <c r="K84" s="2" t="s">
        <v>1699</v>
      </c>
      <c r="L84" s="3" t="s">
        <v>2093</v>
      </c>
    </row>
    <row r="85" spans="1:12" ht="30" x14ac:dyDescent="0.25">
      <c r="A85" s="2" t="s">
        <v>224</v>
      </c>
      <c r="B85" t="s">
        <v>113</v>
      </c>
      <c r="C85" t="s">
        <v>225</v>
      </c>
      <c r="D85" t="str">
        <f>TRIM(Tabulka1[[#This Row],[Jméno]])</f>
        <v>Jiri</v>
      </c>
      <c r="E85" t="str">
        <f>TRIM(Tabulka1[[#This Row],[Příjmení]])</f>
        <v>Pazourek</v>
      </c>
      <c r="F85" s="2" t="str">
        <f>MID(Tabulka1[[#This Row],[Adresa]],1,SEARCH(",",Tabulka1[[#This Row],[Adresa]])-1)</f>
        <v>Václava Haňky 1168</v>
      </c>
      <c r="G85" s="2" t="str">
        <f>RIGHT(Tabulka1[[#This Row],[Adresa]],LEN(Tabulka1[[#This Row],[Adresa]])-LEN(Tabulka1[[#This Row],[Ulice]])-1)</f>
        <v>Šlapanice u Brna</v>
      </c>
      <c r="H85" s="2" t="str">
        <f>_xlfn.CONCAT(LOWER(Tabulka1[[#This Row],[příjmení bez mezer]]),".",LOWER(Tabulka1[[#This Row],[Jmeno bez mezer]]),"@firmaabc.cz")</f>
        <v>pazourek.jiri@firmaabc.cz</v>
      </c>
      <c r="I85" s="2" t="str">
        <f>_xlfn.CONCAT(LOWER(LEFT(Tabulka1[[#This Row],[příjmení bez mezer]],3)),UPPER(RIGHT(Tabulka1[[#This Row],[Jmeno bez mezer]],2)))</f>
        <v>pazRI</v>
      </c>
      <c r="J85" s="2" t="s">
        <v>1204</v>
      </c>
      <c r="K85" s="2" t="s">
        <v>1700</v>
      </c>
      <c r="L85" s="3" t="s">
        <v>2094</v>
      </c>
    </row>
    <row r="86" spans="1:12" x14ac:dyDescent="0.25">
      <c r="A86" s="2" t="s">
        <v>226</v>
      </c>
      <c r="B86" t="s">
        <v>227</v>
      </c>
      <c r="C86" t="s">
        <v>228</v>
      </c>
      <c r="D86" t="str">
        <f>TRIM(Tabulka1[[#This Row],[Jméno]])</f>
        <v>Silvie</v>
      </c>
      <c r="E86" t="str">
        <f>TRIM(Tabulka1[[#This Row],[Příjmení]])</f>
        <v>Polakova</v>
      </c>
      <c r="F86" s="2" t="str">
        <f>MID(Tabulka1[[#This Row],[Adresa]],1,SEARCH(",",Tabulka1[[#This Row],[Adresa]])-1)</f>
        <v>Dašická 292</v>
      </c>
      <c r="G86" s="2" t="str">
        <f>RIGHT(Tabulka1[[#This Row],[Adresa]],LEN(Tabulka1[[#This Row],[Adresa]])-LEN(Tabulka1[[#This Row],[Ulice]])-1)</f>
        <v>Choltice</v>
      </c>
      <c r="H86" s="2" t="str">
        <f>_xlfn.CONCAT(LOWER(Tabulka1[[#This Row],[příjmení bez mezer]]),".",LOWER(Tabulka1[[#This Row],[Jmeno bez mezer]]),"@firmaabc.cz")</f>
        <v>polakova.silvie@firmaabc.cz</v>
      </c>
      <c r="I86" s="2" t="str">
        <f>_xlfn.CONCAT(LOWER(LEFT(Tabulka1[[#This Row],[příjmení bez mezer]],3)),UPPER(RIGHT(Tabulka1[[#This Row],[Jmeno bez mezer]],2)))</f>
        <v>polIE</v>
      </c>
      <c r="J86" s="2" t="s">
        <v>1205</v>
      </c>
      <c r="K86" s="2" t="s">
        <v>1701</v>
      </c>
      <c r="L86" s="3" t="s">
        <v>2095</v>
      </c>
    </row>
    <row r="87" spans="1:12" ht="60" x14ac:dyDescent="0.25">
      <c r="A87" s="2" t="s">
        <v>229</v>
      </c>
      <c r="B87" t="s">
        <v>42</v>
      </c>
      <c r="C87" t="s">
        <v>230</v>
      </c>
      <c r="D87" t="str">
        <f>TRIM(Tabulka1[[#This Row],[Jméno]])</f>
        <v>Marie</v>
      </c>
      <c r="E87" t="str">
        <f>TRIM(Tabulka1[[#This Row],[Příjmení]])</f>
        <v>Kurkova</v>
      </c>
      <c r="F87" s="2" t="str">
        <f>MID(Tabulka1[[#This Row],[Adresa]],1,SEARCH(",",Tabulka1[[#This Row],[Adresa]])-1)</f>
        <v>Hamerská 1137</v>
      </c>
      <c r="G87" s="2" t="str">
        <f>RIGHT(Tabulka1[[#This Row],[Adresa]],LEN(Tabulka1[[#This Row],[Adresa]])-LEN(Tabulka1[[#This Row],[Ulice]])-1)</f>
        <v>Ždírec nad Doubravou</v>
      </c>
      <c r="H87" s="2" t="str">
        <f>_xlfn.CONCAT(LOWER(Tabulka1[[#This Row],[příjmení bez mezer]]),".",LOWER(Tabulka1[[#This Row],[Jmeno bez mezer]]),"@firmaabc.cz")</f>
        <v>kurkova.marie@firmaabc.cz</v>
      </c>
      <c r="I87" s="2" t="str">
        <f>_xlfn.CONCAT(LOWER(LEFT(Tabulka1[[#This Row],[příjmení bez mezer]],3)),UPPER(RIGHT(Tabulka1[[#This Row],[Jmeno bez mezer]],2)))</f>
        <v>kurIE</v>
      </c>
      <c r="J87" s="2" t="s">
        <v>1206</v>
      </c>
      <c r="K87" s="2" t="s">
        <v>1702</v>
      </c>
      <c r="L87" s="3" t="s">
        <v>2096</v>
      </c>
    </row>
    <row r="88" spans="1:12" ht="30" x14ac:dyDescent="0.25">
      <c r="A88" s="2" t="s">
        <v>231</v>
      </c>
      <c r="B88" t="s">
        <v>232</v>
      </c>
      <c r="C88" t="s">
        <v>233</v>
      </c>
      <c r="D88" t="str">
        <f>TRIM(Tabulka1[[#This Row],[Jméno]])</f>
        <v>Zdenek</v>
      </c>
      <c r="E88" t="str">
        <f>TRIM(Tabulka1[[#This Row],[Příjmení]])</f>
        <v>Vala</v>
      </c>
      <c r="F88" s="2" t="str">
        <f>MID(Tabulka1[[#This Row],[Adresa]],1,SEARCH(",",Tabulka1[[#This Row],[Adresa]])-1)</f>
        <v>Palackého 1892</v>
      </c>
      <c r="G88" s="2" t="str">
        <f>RIGHT(Tabulka1[[#This Row],[Adresa]],LEN(Tabulka1[[#This Row],[Adresa]])-LEN(Tabulka1[[#This Row],[Ulice]])-1)</f>
        <v>Kalište</v>
      </c>
      <c r="H88" s="2" t="str">
        <f>_xlfn.CONCAT(LOWER(Tabulka1[[#This Row],[příjmení bez mezer]]),".",LOWER(Tabulka1[[#This Row],[Jmeno bez mezer]]),"@firmaabc.cz")</f>
        <v>vala.zdenek@firmaabc.cz</v>
      </c>
      <c r="I88" s="2" t="str">
        <f>_xlfn.CONCAT(LOWER(LEFT(Tabulka1[[#This Row],[příjmení bez mezer]],3)),UPPER(RIGHT(Tabulka1[[#This Row],[Jmeno bez mezer]],2)))</f>
        <v>valEK</v>
      </c>
      <c r="J88" s="2" t="s">
        <v>1207</v>
      </c>
      <c r="K88" s="2" t="s">
        <v>1703</v>
      </c>
      <c r="L88" s="3" t="s">
        <v>2097</v>
      </c>
    </row>
    <row r="89" spans="1:12" ht="30" x14ac:dyDescent="0.25">
      <c r="A89" s="2" t="s">
        <v>234</v>
      </c>
      <c r="B89" t="s">
        <v>85</v>
      </c>
      <c r="C89" t="s">
        <v>235</v>
      </c>
      <c r="D89" t="str">
        <f>TRIM(Tabulka1[[#This Row],[Jméno]])</f>
        <v>Martin</v>
      </c>
      <c r="E89" t="str">
        <f>TRIM(Tabulka1[[#This Row],[Příjmení]])</f>
        <v>Macku</v>
      </c>
      <c r="F89" s="2" t="str">
        <f>MID(Tabulka1[[#This Row],[Adresa]],1,SEARCH(",",Tabulka1[[#This Row],[Adresa]])-1)</f>
        <v>Jeronýmova 895</v>
      </c>
      <c r="G89" s="2" t="str">
        <f>RIGHT(Tabulka1[[#This Row],[Adresa]],LEN(Tabulka1[[#This Row],[Adresa]])-LEN(Tabulka1[[#This Row],[Ulice]])-1)</f>
        <v>Polná</v>
      </c>
      <c r="H89" s="2" t="str">
        <f>_xlfn.CONCAT(LOWER(Tabulka1[[#This Row],[příjmení bez mezer]]),".",LOWER(Tabulka1[[#This Row],[Jmeno bez mezer]]),"@firmaabc.cz")</f>
        <v>macku.martin@firmaabc.cz</v>
      </c>
      <c r="I89" s="2" t="str">
        <f>_xlfn.CONCAT(LOWER(LEFT(Tabulka1[[#This Row],[příjmení bez mezer]],3)),UPPER(RIGHT(Tabulka1[[#This Row],[Jmeno bez mezer]],2)))</f>
        <v>macIN</v>
      </c>
      <c r="J89" s="2" t="s">
        <v>1208</v>
      </c>
      <c r="K89" s="2" t="s">
        <v>1704</v>
      </c>
      <c r="L89" s="3" t="s">
        <v>2098</v>
      </c>
    </row>
    <row r="90" spans="1:12" x14ac:dyDescent="0.25">
      <c r="A90" s="2" t="s">
        <v>236</v>
      </c>
      <c r="B90" t="s">
        <v>36</v>
      </c>
      <c r="C90" t="s">
        <v>237</v>
      </c>
      <c r="D90" t="str">
        <f>TRIM(Tabulka1[[#This Row],[Jméno]])</f>
        <v>Miroslava</v>
      </c>
      <c r="E90" t="str">
        <f>TRIM(Tabulka1[[#This Row],[Příjmení]])</f>
        <v>Tuckova</v>
      </c>
      <c r="F90" s="2" t="str">
        <f>MID(Tabulka1[[#This Row],[Adresa]],1,SEARCH(",",Tabulka1[[#This Row],[Adresa]])-1)</f>
        <v>Mírová 276</v>
      </c>
      <c r="G90" s="2" t="str">
        <f>RIGHT(Tabulka1[[#This Row],[Adresa]],LEN(Tabulka1[[#This Row],[Adresa]])-LEN(Tabulka1[[#This Row],[Ulice]])-1)</f>
        <v>Strážek</v>
      </c>
      <c r="H90" s="2" t="str">
        <f>_xlfn.CONCAT(LOWER(Tabulka1[[#This Row],[příjmení bez mezer]]),".",LOWER(Tabulka1[[#This Row],[Jmeno bez mezer]]),"@firmaabc.cz")</f>
        <v>tuckova.miroslava@firmaabc.cz</v>
      </c>
      <c r="I90" s="2" t="str">
        <f>_xlfn.CONCAT(LOWER(LEFT(Tabulka1[[#This Row],[příjmení bez mezer]],3)),UPPER(RIGHT(Tabulka1[[#This Row],[Jmeno bez mezer]],2)))</f>
        <v>tucVA</v>
      </c>
      <c r="J90" s="2" t="s">
        <v>1209</v>
      </c>
      <c r="K90" s="2" t="s">
        <v>1705</v>
      </c>
      <c r="L90" s="3" t="s">
        <v>2099</v>
      </c>
    </row>
    <row r="91" spans="1:12" ht="30" x14ac:dyDescent="0.25">
      <c r="A91" s="2" t="s">
        <v>238</v>
      </c>
      <c r="B91" t="s">
        <v>239</v>
      </c>
      <c r="C91" t="s">
        <v>240</v>
      </c>
      <c r="D91" t="str">
        <f>TRIM(Tabulka1[[#This Row],[Jméno]])</f>
        <v>Antonin</v>
      </c>
      <c r="E91" t="str">
        <f>TRIM(Tabulka1[[#This Row],[Příjmení]])</f>
        <v>Kopal</v>
      </c>
      <c r="F91" s="2" t="str">
        <f>MID(Tabulka1[[#This Row],[Adresa]],1,SEARCH(",",Tabulka1[[#This Row],[Adresa]])-1)</f>
        <v>Bavorovská 607</v>
      </c>
      <c r="G91" s="2" t="str">
        <f>RIGHT(Tabulka1[[#This Row],[Adresa]],LEN(Tabulka1[[#This Row],[Adresa]])-LEN(Tabulka1[[#This Row],[Ulice]])-1)</f>
        <v>Vlachovo Brezí</v>
      </c>
      <c r="H91" s="2" t="str">
        <f>_xlfn.CONCAT(LOWER(Tabulka1[[#This Row],[příjmení bez mezer]]),".",LOWER(Tabulka1[[#This Row],[Jmeno bez mezer]]),"@firmaabc.cz")</f>
        <v>kopal.antonin@firmaabc.cz</v>
      </c>
      <c r="I91" s="2" t="str">
        <f>_xlfn.CONCAT(LOWER(LEFT(Tabulka1[[#This Row],[příjmení bez mezer]],3)),UPPER(RIGHT(Tabulka1[[#This Row],[Jmeno bez mezer]],2)))</f>
        <v>kopIN</v>
      </c>
      <c r="J91" s="2" t="s">
        <v>1210</v>
      </c>
      <c r="K91" s="2" t="s">
        <v>1706</v>
      </c>
      <c r="L91" s="3" t="s">
        <v>2100</v>
      </c>
    </row>
    <row r="92" spans="1:12" ht="30" x14ac:dyDescent="0.25">
      <c r="A92" s="2" t="s">
        <v>241</v>
      </c>
      <c r="B92" t="s">
        <v>242</v>
      </c>
      <c r="C92" t="s">
        <v>243</v>
      </c>
      <c r="D92" t="str">
        <f>TRIM(Tabulka1[[#This Row],[Jméno]])</f>
        <v>Roman</v>
      </c>
      <c r="E92" t="str">
        <f>TRIM(Tabulka1[[#This Row],[Příjmení]])</f>
        <v>Ostadal</v>
      </c>
      <c r="F92" s="2" t="str">
        <f>MID(Tabulka1[[#This Row],[Adresa]],1,SEARCH(",",Tabulka1[[#This Row],[Adresa]])-1)</f>
        <v>Prokopská 1831</v>
      </c>
      <c r="G92" s="2" t="str">
        <f>RIGHT(Tabulka1[[#This Row],[Adresa]],LEN(Tabulka1[[#This Row],[Adresa]])-LEN(Tabulka1[[#This Row],[Ulice]])-1)</f>
        <v>Necín</v>
      </c>
      <c r="H92" s="2" t="str">
        <f>_xlfn.CONCAT(LOWER(Tabulka1[[#This Row],[příjmení bez mezer]]),".",LOWER(Tabulka1[[#This Row],[Jmeno bez mezer]]),"@firmaabc.cz")</f>
        <v>ostadal.roman@firmaabc.cz</v>
      </c>
      <c r="I92" s="2" t="str">
        <f>_xlfn.CONCAT(LOWER(LEFT(Tabulka1[[#This Row],[příjmení bez mezer]],3)),UPPER(RIGHT(Tabulka1[[#This Row],[Jmeno bez mezer]],2)))</f>
        <v>ostAN</v>
      </c>
      <c r="J92" s="2" t="s">
        <v>1211</v>
      </c>
      <c r="K92" s="2" t="s">
        <v>1707</v>
      </c>
      <c r="L92" s="3" t="s">
        <v>2101</v>
      </c>
    </row>
    <row r="93" spans="1:12" ht="30" x14ac:dyDescent="0.25">
      <c r="A93" s="2" t="s">
        <v>244</v>
      </c>
      <c r="B93" t="s">
        <v>245</v>
      </c>
      <c r="C93" t="s">
        <v>246</v>
      </c>
      <c r="D93" t="str">
        <f>TRIM(Tabulka1[[#This Row],[Jméno]])</f>
        <v>Oto</v>
      </c>
      <c r="E93" t="str">
        <f>TRIM(Tabulka1[[#This Row],[Příjmení]])</f>
        <v>Bartosek</v>
      </c>
      <c r="F93" s="2" t="str">
        <f>MID(Tabulka1[[#This Row],[Adresa]],1,SEARCH(",",Tabulka1[[#This Row],[Adresa]])-1)</f>
        <v>Vostelčická 1179</v>
      </c>
      <c r="G93" s="2" t="str">
        <f>RIGHT(Tabulka1[[#This Row],[Adresa]],LEN(Tabulka1[[#This Row],[Adresa]])-LEN(Tabulka1[[#This Row],[Ulice]])-1)</f>
        <v>Vysoké Mýto</v>
      </c>
      <c r="H93" s="2" t="str">
        <f>_xlfn.CONCAT(LOWER(Tabulka1[[#This Row],[příjmení bez mezer]]),".",LOWER(Tabulka1[[#This Row],[Jmeno bez mezer]]),"@firmaabc.cz")</f>
        <v>bartosek.oto@firmaabc.cz</v>
      </c>
      <c r="I93" s="2" t="str">
        <f>_xlfn.CONCAT(LOWER(LEFT(Tabulka1[[#This Row],[příjmení bez mezer]],3)),UPPER(RIGHT(Tabulka1[[#This Row],[Jmeno bez mezer]],2)))</f>
        <v>barTO</v>
      </c>
      <c r="J93" s="2" t="s">
        <v>1212</v>
      </c>
      <c r="K93" s="2" t="s">
        <v>1638</v>
      </c>
      <c r="L93" s="3" t="s">
        <v>2102</v>
      </c>
    </row>
    <row r="94" spans="1:12" ht="30" x14ac:dyDescent="0.25">
      <c r="A94" s="2" t="s">
        <v>247</v>
      </c>
      <c r="B94" t="s">
        <v>248</v>
      </c>
      <c r="C94" t="s">
        <v>249</v>
      </c>
      <c r="D94" t="str">
        <f>TRIM(Tabulka1[[#This Row],[Jméno]])</f>
        <v>Miloslav</v>
      </c>
      <c r="E94" t="str">
        <f>TRIM(Tabulka1[[#This Row],[Příjmení]])</f>
        <v>Huml</v>
      </c>
      <c r="F94" s="2" t="str">
        <f>MID(Tabulka1[[#This Row],[Adresa]],1,SEARCH(",",Tabulka1[[#This Row],[Adresa]])-1)</f>
        <v>Alšova 1339</v>
      </c>
      <c r="G94" s="2" t="str">
        <f>RIGHT(Tabulka1[[#This Row],[Adresa]],LEN(Tabulka1[[#This Row],[Adresa]])-LEN(Tabulka1[[#This Row],[Ulice]])-1)</f>
        <v>Cimelice</v>
      </c>
      <c r="H94" s="2" t="str">
        <f>_xlfn.CONCAT(LOWER(Tabulka1[[#This Row],[příjmení bez mezer]]),".",LOWER(Tabulka1[[#This Row],[Jmeno bez mezer]]),"@firmaabc.cz")</f>
        <v>huml.miloslav@firmaabc.cz</v>
      </c>
      <c r="I94" s="2" t="str">
        <f>_xlfn.CONCAT(LOWER(LEFT(Tabulka1[[#This Row],[příjmení bez mezer]],3)),UPPER(RIGHT(Tabulka1[[#This Row],[Jmeno bez mezer]],2)))</f>
        <v>humAV</v>
      </c>
      <c r="J94" s="2" t="s">
        <v>1213</v>
      </c>
      <c r="K94" s="2" t="s">
        <v>1708</v>
      </c>
      <c r="L94" s="3" t="s">
        <v>2103</v>
      </c>
    </row>
    <row r="95" spans="1:12" ht="60" x14ac:dyDescent="0.25">
      <c r="A95" s="2" t="s">
        <v>250</v>
      </c>
      <c r="B95" t="s">
        <v>76</v>
      </c>
      <c r="C95" t="s">
        <v>251</v>
      </c>
      <c r="D95" t="str">
        <f>TRIM(Tabulka1[[#This Row],[Jméno]])</f>
        <v>Jitka</v>
      </c>
      <c r="E95" t="str">
        <f>TRIM(Tabulka1[[#This Row],[Příjmení]])</f>
        <v>Roznovska</v>
      </c>
      <c r="F95" s="2" t="str">
        <f>MID(Tabulka1[[#This Row],[Adresa]],1,SEARCH(",",Tabulka1[[#This Row],[Adresa]])-1)</f>
        <v>Dobrovského 1092</v>
      </c>
      <c r="G95" s="2" t="str">
        <f>RIGHT(Tabulka1[[#This Row],[Adresa]],LEN(Tabulka1[[#This Row],[Adresa]])-LEN(Tabulka1[[#This Row],[Ulice]])-1)</f>
        <v>Kostelec nad Cernými Lesy</v>
      </c>
      <c r="H95" s="2" t="str">
        <f>_xlfn.CONCAT(LOWER(Tabulka1[[#This Row],[příjmení bez mezer]]),".",LOWER(Tabulka1[[#This Row],[Jmeno bez mezer]]),"@firmaabc.cz")</f>
        <v>roznovska.jitka@firmaabc.cz</v>
      </c>
      <c r="I95" s="2" t="str">
        <f>_xlfn.CONCAT(LOWER(LEFT(Tabulka1[[#This Row],[příjmení bez mezer]],3)),UPPER(RIGHT(Tabulka1[[#This Row],[Jmeno bez mezer]],2)))</f>
        <v>rozKA</v>
      </c>
      <c r="J95" s="2" t="s">
        <v>1214</v>
      </c>
      <c r="K95" s="2" t="s">
        <v>1673</v>
      </c>
      <c r="L95" s="3" t="s">
        <v>2104</v>
      </c>
    </row>
    <row r="96" spans="1:12" x14ac:dyDescent="0.25">
      <c r="A96" s="2" t="s">
        <v>252</v>
      </c>
      <c r="B96" t="s">
        <v>253</v>
      </c>
      <c r="C96" t="s">
        <v>254</v>
      </c>
      <c r="D96" t="str">
        <f>TRIM(Tabulka1[[#This Row],[Jméno]])</f>
        <v>Eva</v>
      </c>
      <c r="E96" t="str">
        <f>TRIM(Tabulka1[[#This Row],[Příjmení]])</f>
        <v>Plackova</v>
      </c>
      <c r="F96" s="2" t="str">
        <f>MID(Tabulka1[[#This Row],[Adresa]],1,SEARCH(",",Tabulka1[[#This Row],[Adresa]])-1)</f>
        <v>Luční 1153</v>
      </c>
      <c r="G96" s="2" t="str">
        <f>RIGHT(Tabulka1[[#This Row],[Adresa]],LEN(Tabulka1[[#This Row],[Adresa]])-LEN(Tabulka1[[#This Row],[Ulice]])-1)</f>
        <v>Rovecné</v>
      </c>
      <c r="H96" s="2" t="str">
        <f>_xlfn.CONCAT(LOWER(Tabulka1[[#This Row],[příjmení bez mezer]]),".",LOWER(Tabulka1[[#This Row],[Jmeno bez mezer]]),"@firmaabc.cz")</f>
        <v>plackova.eva@firmaabc.cz</v>
      </c>
      <c r="I96" s="2" t="str">
        <f>_xlfn.CONCAT(LOWER(LEFT(Tabulka1[[#This Row],[příjmení bez mezer]],3)),UPPER(RIGHT(Tabulka1[[#This Row],[Jmeno bez mezer]],2)))</f>
        <v>plaVA</v>
      </c>
      <c r="J96" s="2" t="s">
        <v>1215</v>
      </c>
      <c r="K96" s="2" t="s">
        <v>1709</v>
      </c>
      <c r="L96" s="3" t="s">
        <v>2105</v>
      </c>
    </row>
    <row r="97" spans="1:12" ht="30" x14ac:dyDescent="0.25">
      <c r="A97" s="2" t="s">
        <v>255</v>
      </c>
      <c r="B97" t="s">
        <v>85</v>
      </c>
      <c r="C97" t="s">
        <v>256</v>
      </c>
      <c r="D97" t="str">
        <f>TRIM(Tabulka1[[#This Row],[Jméno]])</f>
        <v>Martin</v>
      </c>
      <c r="E97" t="str">
        <f>TRIM(Tabulka1[[#This Row],[Příjmení]])</f>
        <v>Fridrich</v>
      </c>
      <c r="F97" s="2" t="str">
        <f>MID(Tabulka1[[#This Row],[Adresa]],1,SEARCH(",",Tabulka1[[#This Row],[Adresa]])-1)</f>
        <v>Masarykova 1713</v>
      </c>
      <c r="G97" s="2" t="str">
        <f>RIGHT(Tabulka1[[#This Row],[Adresa]],LEN(Tabulka1[[#This Row],[Adresa]])-LEN(Tabulka1[[#This Row],[Ulice]])-1)</f>
        <v>Breznice</v>
      </c>
      <c r="H97" s="2" t="str">
        <f>_xlfn.CONCAT(LOWER(Tabulka1[[#This Row],[příjmení bez mezer]]),".",LOWER(Tabulka1[[#This Row],[Jmeno bez mezer]]),"@firmaabc.cz")</f>
        <v>fridrich.martin@firmaabc.cz</v>
      </c>
      <c r="I97" s="2" t="str">
        <f>_xlfn.CONCAT(LOWER(LEFT(Tabulka1[[#This Row],[příjmení bez mezer]],3)),UPPER(RIGHT(Tabulka1[[#This Row],[Jmeno bez mezer]],2)))</f>
        <v>friIN</v>
      </c>
      <c r="J97" s="2" t="s">
        <v>1216</v>
      </c>
      <c r="K97" s="2" t="s">
        <v>1710</v>
      </c>
      <c r="L97" s="3" t="s">
        <v>2106</v>
      </c>
    </row>
    <row r="98" spans="1:12" ht="30" x14ac:dyDescent="0.25">
      <c r="A98" s="2" t="s">
        <v>257</v>
      </c>
      <c r="B98" t="s">
        <v>258</v>
      </c>
      <c r="C98" t="s">
        <v>259</v>
      </c>
      <c r="D98" t="str">
        <f>TRIM(Tabulka1[[#This Row],[Jméno]])</f>
        <v>Bohuslav</v>
      </c>
      <c r="E98" t="str">
        <f>TRIM(Tabulka1[[#This Row],[Příjmení]])</f>
        <v>Hrbac</v>
      </c>
      <c r="F98" s="2" t="str">
        <f>MID(Tabulka1[[#This Row],[Adresa]],1,SEARCH(",",Tabulka1[[#This Row],[Adresa]])-1)</f>
        <v>Hálkova 723</v>
      </c>
      <c r="G98" s="2" t="str">
        <f>RIGHT(Tabulka1[[#This Row],[Adresa]],LEN(Tabulka1[[#This Row],[Adresa]])-LEN(Tabulka1[[#This Row],[Ulice]])-1)</f>
        <v>Ceská Lípa 2</v>
      </c>
      <c r="H98" s="2" t="str">
        <f>_xlfn.CONCAT(LOWER(Tabulka1[[#This Row],[příjmení bez mezer]]),".",LOWER(Tabulka1[[#This Row],[Jmeno bez mezer]]),"@firmaabc.cz")</f>
        <v>hrbac.bohuslav@firmaabc.cz</v>
      </c>
      <c r="I98" s="2" t="str">
        <f>_xlfn.CONCAT(LOWER(LEFT(Tabulka1[[#This Row],[příjmení bez mezer]],3)),UPPER(RIGHT(Tabulka1[[#This Row],[Jmeno bez mezer]],2)))</f>
        <v>hrbAV</v>
      </c>
      <c r="J98" s="2" t="s">
        <v>1217</v>
      </c>
      <c r="K98" s="2" t="s">
        <v>1711</v>
      </c>
      <c r="L98" s="3" t="s">
        <v>2107</v>
      </c>
    </row>
    <row r="99" spans="1:12" ht="30" x14ac:dyDescent="0.25">
      <c r="A99" s="2" t="s">
        <v>260</v>
      </c>
      <c r="B99" t="s">
        <v>85</v>
      </c>
      <c r="C99" t="s">
        <v>261</v>
      </c>
      <c r="D99" t="str">
        <f>TRIM(Tabulka1[[#This Row],[Jméno]])</f>
        <v>Martin</v>
      </c>
      <c r="E99" t="str">
        <f>TRIM(Tabulka1[[#This Row],[Příjmení]])</f>
        <v>Koznar</v>
      </c>
      <c r="F99" s="2" t="str">
        <f>MID(Tabulka1[[#This Row],[Adresa]],1,SEARCH(",",Tabulka1[[#This Row],[Adresa]])-1)</f>
        <v>Bezručova 1422</v>
      </c>
      <c r="G99" s="2" t="str">
        <f>RIGHT(Tabulka1[[#This Row],[Adresa]],LEN(Tabulka1[[#This Row],[Adresa]])-LEN(Tabulka1[[#This Row],[Ulice]])-1)</f>
        <v>Šternberk 1</v>
      </c>
      <c r="H99" s="2" t="str">
        <f>_xlfn.CONCAT(LOWER(Tabulka1[[#This Row],[příjmení bez mezer]]),".",LOWER(Tabulka1[[#This Row],[Jmeno bez mezer]]),"@firmaabc.cz")</f>
        <v>koznar.martin@firmaabc.cz</v>
      </c>
      <c r="I99" s="2" t="str">
        <f>_xlfn.CONCAT(LOWER(LEFT(Tabulka1[[#This Row],[příjmení bez mezer]],3)),UPPER(RIGHT(Tabulka1[[#This Row],[Jmeno bez mezer]],2)))</f>
        <v>kozIN</v>
      </c>
      <c r="J99" s="2" t="s">
        <v>1218</v>
      </c>
      <c r="K99" s="2" t="s">
        <v>1712</v>
      </c>
      <c r="L99" s="3" t="s">
        <v>2108</v>
      </c>
    </row>
    <row r="100" spans="1:12" x14ac:dyDescent="0.25">
      <c r="A100" s="2" t="s">
        <v>262</v>
      </c>
      <c r="B100" t="s">
        <v>263</v>
      </c>
      <c r="C100" t="s">
        <v>264</v>
      </c>
      <c r="D100" t="str">
        <f>TRIM(Tabulka1[[#This Row],[Jméno]])</f>
        <v>Robert</v>
      </c>
      <c r="E100" t="str">
        <f>TRIM(Tabulka1[[#This Row],[Příjmení]])</f>
        <v>Horak</v>
      </c>
      <c r="F100" s="2" t="str">
        <f>MID(Tabulka1[[#This Row],[Adresa]],1,SEARCH(",",Tabulka1[[#This Row],[Adresa]])-1)</f>
        <v>Školní 1619</v>
      </c>
      <c r="G100" s="2" t="str">
        <f>RIGHT(Tabulka1[[#This Row],[Adresa]],LEN(Tabulka1[[#This Row],[Adresa]])-LEN(Tabulka1[[#This Row],[Ulice]])-1)</f>
        <v>Kaplice 1</v>
      </c>
      <c r="H100" s="2" t="str">
        <f>_xlfn.CONCAT(LOWER(Tabulka1[[#This Row],[příjmení bez mezer]]),".",LOWER(Tabulka1[[#This Row],[Jmeno bez mezer]]),"@firmaabc.cz")</f>
        <v>horak.robert@firmaabc.cz</v>
      </c>
      <c r="I100" s="2" t="str">
        <f>_xlfn.CONCAT(LOWER(LEFT(Tabulka1[[#This Row],[příjmení bez mezer]],3)),UPPER(RIGHT(Tabulka1[[#This Row],[Jmeno bez mezer]],2)))</f>
        <v>horRT</v>
      </c>
      <c r="J100" s="2" t="s">
        <v>1219</v>
      </c>
      <c r="K100" s="2" t="s">
        <v>1630</v>
      </c>
      <c r="L100" s="3" t="s">
        <v>2109</v>
      </c>
    </row>
    <row r="101" spans="1:12" ht="30" x14ac:dyDescent="0.25">
      <c r="A101" s="2" t="s">
        <v>265</v>
      </c>
      <c r="B101" t="s">
        <v>42</v>
      </c>
      <c r="C101" t="s">
        <v>266</v>
      </c>
      <c r="D101" t="str">
        <f>TRIM(Tabulka1[[#This Row],[Jméno]])</f>
        <v>Marie</v>
      </c>
      <c r="E101" t="str">
        <f>TRIM(Tabulka1[[#This Row],[Příjmení]])</f>
        <v>Kockova</v>
      </c>
      <c r="F101" s="2" t="str">
        <f>MID(Tabulka1[[#This Row],[Adresa]],1,SEARCH(",",Tabulka1[[#This Row],[Adresa]])-1)</f>
        <v>Osnická 856</v>
      </c>
      <c r="G101" s="2" t="str">
        <f>RIGHT(Tabulka1[[#This Row],[Adresa]],LEN(Tabulka1[[#This Row],[Adresa]])-LEN(Tabulka1[[#This Row],[Ulice]])-1)</f>
        <v>Praha 111</v>
      </c>
      <c r="H101" s="2" t="str">
        <f>_xlfn.CONCAT(LOWER(Tabulka1[[#This Row],[příjmení bez mezer]]),".",LOWER(Tabulka1[[#This Row],[Jmeno bez mezer]]),"@firmaabc.cz")</f>
        <v>kockova.marie@firmaabc.cz</v>
      </c>
      <c r="I101" s="2" t="str">
        <f>_xlfn.CONCAT(LOWER(LEFT(Tabulka1[[#This Row],[příjmení bez mezer]],3)),UPPER(RIGHT(Tabulka1[[#This Row],[Jmeno bez mezer]],2)))</f>
        <v>kocIE</v>
      </c>
      <c r="J101" s="2" t="s">
        <v>1220</v>
      </c>
      <c r="K101" s="2" t="s">
        <v>1713</v>
      </c>
      <c r="L101" s="3" t="s">
        <v>2110</v>
      </c>
    </row>
    <row r="102" spans="1:12" ht="30" x14ac:dyDescent="0.25">
      <c r="A102" s="2" t="s">
        <v>267</v>
      </c>
      <c r="B102" t="s">
        <v>268</v>
      </c>
      <c r="C102" t="s">
        <v>269</v>
      </c>
      <c r="D102" t="str">
        <f>TRIM(Tabulka1[[#This Row],[Jméno]])</f>
        <v>Anna</v>
      </c>
      <c r="E102" t="str">
        <f>TRIM(Tabulka1[[#This Row],[Příjmení]])</f>
        <v>Lerchova</v>
      </c>
      <c r="F102" s="2" t="str">
        <f>MID(Tabulka1[[#This Row],[Adresa]],1,SEARCH(",",Tabulka1[[#This Row],[Adresa]])-1)</f>
        <v>Dašická 1054</v>
      </c>
      <c r="G102" s="2" t="str">
        <f>RIGHT(Tabulka1[[#This Row],[Adresa]],LEN(Tabulka1[[#This Row],[Adresa]])-LEN(Tabulka1[[#This Row],[Ulice]])-1)</f>
        <v>Holice v Cechách</v>
      </c>
      <c r="H102" s="2" t="str">
        <f>_xlfn.CONCAT(LOWER(Tabulka1[[#This Row],[příjmení bez mezer]]),".",LOWER(Tabulka1[[#This Row],[Jmeno bez mezer]]),"@firmaabc.cz")</f>
        <v>lerchova.anna@firmaabc.cz</v>
      </c>
      <c r="I102" s="2" t="str">
        <f>_xlfn.CONCAT(LOWER(LEFT(Tabulka1[[#This Row],[příjmení bez mezer]],3)),UPPER(RIGHT(Tabulka1[[#This Row],[Jmeno bez mezer]],2)))</f>
        <v>lerNA</v>
      </c>
      <c r="J102" s="2" t="s">
        <v>1221</v>
      </c>
      <c r="K102" s="2" t="s">
        <v>1634</v>
      </c>
      <c r="L102" s="3" t="s">
        <v>2111</v>
      </c>
    </row>
    <row r="103" spans="1:12" ht="30" x14ac:dyDescent="0.25">
      <c r="A103" s="2" t="s">
        <v>270</v>
      </c>
      <c r="B103" t="s">
        <v>145</v>
      </c>
      <c r="C103" t="s">
        <v>271</v>
      </c>
      <c r="D103" t="str">
        <f>TRIM(Tabulka1[[#This Row],[Jméno]])</f>
        <v>Hana</v>
      </c>
      <c r="E103" t="str">
        <f>TRIM(Tabulka1[[#This Row],[Příjmení]])</f>
        <v>Bartosova</v>
      </c>
      <c r="F103" s="2" t="str">
        <f>MID(Tabulka1[[#This Row],[Adresa]],1,SEARCH(",",Tabulka1[[#This Row],[Adresa]])-1)</f>
        <v>Družstevní 1150</v>
      </c>
      <c r="G103" s="2" t="str">
        <f>RIGHT(Tabulka1[[#This Row],[Adresa]],LEN(Tabulka1[[#This Row],[Adresa]])-LEN(Tabulka1[[#This Row],[Ulice]])-1)</f>
        <v>Hostim</v>
      </c>
      <c r="H103" s="2" t="str">
        <f>_xlfn.CONCAT(LOWER(Tabulka1[[#This Row],[příjmení bez mezer]]),".",LOWER(Tabulka1[[#This Row],[Jmeno bez mezer]]),"@firmaabc.cz")</f>
        <v>bartosova.hana@firmaabc.cz</v>
      </c>
      <c r="I103" s="2" t="str">
        <f>_xlfn.CONCAT(LOWER(LEFT(Tabulka1[[#This Row],[příjmení bez mezer]],3)),UPPER(RIGHT(Tabulka1[[#This Row],[Jmeno bez mezer]],2)))</f>
        <v>barNA</v>
      </c>
      <c r="J103" s="2" t="s">
        <v>1222</v>
      </c>
      <c r="K103" s="2" t="s">
        <v>1714</v>
      </c>
      <c r="L103" s="3" t="s">
        <v>2112</v>
      </c>
    </row>
    <row r="104" spans="1:12" ht="45" x14ac:dyDescent="0.25">
      <c r="A104" s="2" t="s">
        <v>272</v>
      </c>
      <c r="B104" t="s">
        <v>178</v>
      </c>
      <c r="C104" t="s">
        <v>273</v>
      </c>
      <c r="D104" t="str">
        <f>TRIM(Tabulka1[[#This Row],[Jméno]])</f>
        <v>Jaroslav</v>
      </c>
      <c r="E104" t="str">
        <f>TRIM(Tabulka1[[#This Row],[Příjmení]])</f>
        <v>Dohnal</v>
      </c>
      <c r="F104" s="2" t="str">
        <f>MID(Tabulka1[[#This Row],[Adresa]],1,SEARCH(",",Tabulka1[[#This Row],[Adresa]])-1)</f>
        <v>Československé legií 842</v>
      </c>
      <c r="G104" s="2" t="str">
        <f>RIGHT(Tabulka1[[#This Row],[Adresa]],LEN(Tabulka1[[#This Row],[Adresa]])-LEN(Tabulka1[[#This Row],[Ulice]])-1)</f>
        <v>Kojetín</v>
      </c>
      <c r="H104" s="2" t="str">
        <f>_xlfn.CONCAT(LOWER(Tabulka1[[#This Row],[příjmení bez mezer]]),".",LOWER(Tabulka1[[#This Row],[Jmeno bez mezer]]),"@firmaabc.cz")</f>
        <v>dohnal.jaroslav@firmaabc.cz</v>
      </c>
      <c r="I104" s="2" t="str">
        <f>_xlfn.CONCAT(LOWER(LEFT(Tabulka1[[#This Row],[příjmení bez mezer]],3)),UPPER(RIGHT(Tabulka1[[#This Row],[Jmeno bez mezer]],2)))</f>
        <v>dohAV</v>
      </c>
      <c r="J104" s="2" t="s">
        <v>1223</v>
      </c>
      <c r="K104" s="2" t="s">
        <v>1715</v>
      </c>
      <c r="L104" s="3" t="s">
        <v>2113</v>
      </c>
    </row>
    <row r="105" spans="1:12" ht="60" x14ac:dyDescent="0.25">
      <c r="A105" s="2" t="s">
        <v>274</v>
      </c>
      <c r="B105" t="s">
        <v>15</v>
      </c>
      <c r="C105" t="s">
        <v>275</v>
      </c>
      <c r="D105" t="str">
        <f>TRIM(Tabulka1[[#This Row],[Jméno]])</f>
        <v>Vladimir</v>
      </c>
      <c r="E105" t="str">
        <f>TRIM(Tabulka1[[#This Row],[Příjmení]])</f>
        <v>Gabriel</v>
      </c>
      <c r="F105" s="2" t="str">
        <f>MID(Tabulka1[[#This Row],[Adresa]],1,SEARCH(",",Tabulka1[[#This Row],[Adresa]])-1)</f>
        <v>Alšova 596</v>
      </c>
      <c r="G105" s="2" t="str">
        <f>RIGHT(Tabulka1[[#This Row],[Adresa]],LEN(Tabulka1[[#This Row],[Adresa]])-LEN(Tabulka1[[#This Row],[Ulice]])-1)</f>
        <v>Herálec u Havlíckova Brodu</v>
      </c>
      <c r="H105" s="2" t="str">
        <f>_xlfn.CONCAT(LOWER(Tabulka1[[#This Row],[příjmení bez mezer]]),".",LOWER(Tabulka1[[#This Row],[Jmeno bez mezer]]),"@firmaabc.cz")</f>
        <v>gabriel.vladimir@firmaabc.cz</v>
      </c>
      <c r="I105" s="2" t="str">
        <f>_xlfn.CONCAT(LOWER(LEFT(Tabulka1[[#This Row],[příjmení bez mezer]],3)),UPPER(RIGHT(Tabulka1[[#This Row],[Jmeno bez mezer]],2)))</f>
        <v>gabIR</v>
      </c>
      <c r="J105" s="2" t="s">
        <v>1224</v>
      </c>
      <c r="K105" s="2" t="s">
        <v>1716</v>
      </c>
      <c r="L105" s="3" t="s">
        <v>2114</v>
      </c>
    </row>
    <row r="106" spans="1:12" ht="45" x14ac:dyDescent="0.25">
      <c r="A106" s="2" t="s">
        <v>276</v>
      </c>
      <c r="B106" t="s">
        <v>148</v>
      </c>
      <c r="C106" t="s">
        <v>277</v>
      </c>
      <c r="D106" t="str">
        <f>TRIM(Tabulka1[[#This Row],[Jméno]])</f>
        <v>Josef</v>
      </c>
      <c r="E106" t="str">
        <f>TRIM(Tabulka1[[#This Row],[Příjmení]])</f>
        <v>Gorol</v>
      </c>
      <c r="F106" s="2" t="str">
        <f>MID(Tabulka1[[#This Row],[Adresa]],1,SEARCH(",",Tabulka1[[#This Row],[Adresa]])-1)</f>
        <v>Opltova 239</v>
      </c>
      <c r="G106" s="2" t="str">
        <f>RIGHT(Tabulka1[[#This Row],[Adresa]],LEN(Tabulka1[[#This Row],[Adresa]])-LEN(Tabulka1[[#This Row],[Ulice]])-1)</f>
        <v>Hora Svaté Kateriny</v>
      </c>
      <c r="H106" s="2" t="str">
        <f>_xlfn.CONCAT(LOWER(Tabulka1[[#This Row],[příjmení bez mezer]]),".",LOWER(Tabulka1[[#This Row],[Jmeno bez mezer]]),"@firmaabc.cz")</f>
        <v>gorol.josef@firmaabc.cz</v>
      </c>
      <c r="I106" s="2" t="str">
        <f>_xlfn.CONCAT(LOWER(LEFT(Tabulka1[[#This Row],[příjmení bez mezer]],3)),UPPER(RIGHT(Tabulka1[[#This Row],[Jmeno bez mezer]],2)))</f>
        <v>gorEF</v>
      </c>
      <c r="J106" s="2" t="s">
        <v>1225</v>
      </c>
      <c r="K106" s="2" t="s">
        <v>1717</v>
      </c>
      <c r="L106" s="3" t="s">
        <v>2115</v>
      </c>
    </row>
    <row r="107" spans="1:12" ht="30" x14ac:dyDescent="0.25">
      <c r="A107" s="2" t="s">
        <v>278</v>
      </c>
      <c r="B107" t="s">
        <v>279</v>
      </c>
      <c r="C107" t="s">
        <v>280</v>
      </c>
      <c r="D107" t="str">
        <f>TRIM(Tabulka1[[#This Row],[Jméno]])</f>
        <v>Zaneta</v>
      </c>
      <c r="E107" t="str">
        <f>TRIM(Tabulka1[[#This Row],[Příjmení]])</f>
        <v>Mayerova</v>
      </c>
      <c r="F107" s="2" t="str">
        <f>MID(Tabulka1[[#This Row],[Adresa]],1,SEARCH(",",Tabulka1[[#This Row],[Adresa]])-1)</f>
        <v>Hřbitovní 1471</v>
      </c>
      <c r="G107" s="2" t="str">
        <f>RIGHT(Tabulka1[[#This Row],[Adresa]],LEN(Tabulka1[[#This Row],[Adresa]])-LEN(Tabulka1[[#This Row],[Ulice]])-1)</f>
        <v>Luhacovice</v>
      </c>
      <c r="H107" s="2" t="str">
        <f>_xlfn.CONCAT(LOWER(Tabulka1[[#This Row],[příjmení bez mezer]]),".",LOWER(Tabulka1[[#This Row],[Jmeno bez mezer]]),"@firmaabc.cz")</f>
        <v>mayerova.zaneta@firmaabc.cz</v>
      </c>
      <c r="I107" s="2" t="str">
        <f>_xlfn.CONCAT(LOWER(LEFT(Tabulka1[[#This Row],[příjmení bez mezer]],3)),UPPER(RIGHT(Tabulka1[[#This Row],[Jmeno bez mezer]],2)))</f>
        <v>mayTA</v>
      </c>
      <c r="J107" s="2" t="s">
        <v>1226</v>
      </c>
      <c r="K107" s="2" t="s">
        <v>1718</v>
      </c>
      <c r="L107" s="3" t="s">
        <v>2116</v>
      </c>
    </row>
    <row r="108" spans="1:12" ht="30" x14ac:dyDescent="0.25">
      <c r="A108" s="2" t="s">
        <v>281</v>
      </c>
      <c r="B108" t="s">
        <v>24</v>
      </c>
      <c r="C108" t="s">
        <v>282</v>
      </c>
      <c r="D108" t="str">
        <f>TRIM(Tabulka1[[#This Row],[Jméno]])</f>
        <v>Jan</v>
      </c>
      <c r="E108" t="str">
        <f>TRIM(Tabulka1[[#This Row],[Příjmení]])</f>
        <v>Vondrasek</v>
      </c>
      <c r="F108" s="2" t="str">
        <f>MID(Tabulka1[[#This Row],[Adresa]],1,SEARCH(",",Tabulka1[[#This Row],[Adresa]])-1)</f>
        <v>Luční 63</v>
      </c>
      <c r="G108" s="2" t="str">
        <f>RIGHT(Tabulka1[[#This Row],[Adresa]],LEN(Tabulka1[[#This Row],[Adresa]])-LEN(Tabulka1[[#This Row],[Ulice]])-1)</f>
        <v>Velké Mezirící</v>
      </c>
      <c r="H108" s="2" t="str">
        <f>_xlfn.CONCAT(LOWER(Tabulka1[[#This Row],[příjmení bez mezer]]),".",LOWER(Tabulka1[[#This Row],[Jmeno bez mezer]]),"@firmaabc.cz")</f>
        <v>vondrasek.jan@firmaabc.cz</v>
      </c>
      <c r="I108" s="2" t="str">
        <f>_xlfn.CONCAT(LOWER(LEFT(Tabulka1[[#This Row],[příjmení bez mezer]],3)),UPPER(RIGHT(Tabulka1[[#This Row],[Jmeno bez mezer]],2)))</f>
        <v>vonAN</v>
      </c>
      <c r="J108" s="2" t="s">
        <v>1227</v>
      </c>
      <c r="K108" s="2" t="s">
        <v>1719</v>
      </c>
      <c r="L108" s="3" t="s">
        <v>2117</v>
      </c>
    </row>
    <row r="109" spans="1:12" ht="30" x14ac:dyDescent="0.25">
      <c r="A109" s="2" t="s">
        <v>283</v>
      </c>
      <c r="B109" t="s">
        <v>284</v>
      </c>
      <c r="C109" t="s">
        <v>285</v>
      </c>
      <c r="D109" t="str">
        <f>TRIM(Tabulka1[[#This Row],[Jméno]])</f>
        <v>Jindriska</v>
      </c>
      <c r="E109" t="str">
        <f>TRIM(Tabulka1[[#This Row],[Příjmení]])</f>
        <v>Rapantova</v>
      </c>
      <c r="F109" s="2" t="str">
        <f>MID(Tabulka1[[#This Row],[Adresa]],1,SEARCH(",",Tabulka1[[#This Row],[Adresa]])-1)</f>
        <v>Jabloňová 554</v>
      </c>
      <c r="G109" s="2" t="str">
        <f>RIGHT(Tabulka1[[#This Row],[Adresa]],LEN(Tabulka1[[#This Row],[Adresa]])-LEN(Tabulka1[[#This Row],[Ulice]])-1)</f>
        <v>Chroustovice</v>
      </c>
      <c r="H109" s="2" t="str">
        <f>_xlfn.CONCAT(LOWER(Tabulka1[[#This Row],[příjmení bez mezer]]),".",LOWER(Tabulka1[[#This Row],[Jmeno bez mezer]]),"@firmaabc.cz")</f>
        <v>rapantova.jindriska@firmaabc.cz</v>
      </c>
      <c r="I109" s="2" t="str">
        <f>_xlfn.CONCAT(LOWER(LEFT(Tabulka1[[#This Row],[příjmení bez mezer]],3)),UPPER(RIGHT(Tabulka1[[#This Row],[Jmeno bez mezer]],2)))</f>
        <v>rapKA</v>
      </c>
      <c r="J109" s="2" t="s">
        <v>1228</v>
      </c>
      <c r="K109" s="2" t="s">
        <v>1720</v>
      </c>
      <c r="L109" s="3" t="s">
        <v>2118</v>
      </c>
    </row>
    <row r="110" spans="1:12" ht="30" x14ac:dyDescent="0.25">
      <c r="A110" s="2" t="s">
        <v>286</v>
      </c>
      <c r="B110" t="s">
        <v>287</v>
      </c>
      <c r="C110" t="s">
        <v>288</v>
      </c>
      <c r="D110" t="str">
        <f>TRIM(Tabulka1[[#This Row],[Jméno]])</f>
        <v>Petr</v>
      </c>
      <c r="E110" t="str">
        <f>TRIM(Tabulka1[[#This Row],[Příjmení]])</f>
        <v>Konecny</v>
      </c>
      <c r="F110" s="2" t="str">
        <f>MID(Tabulka1[[#This Row],[Adresa]],1,SEARCH(",",Tabulka1[[#This Row],[Adresa]])-1)</f>
        <v>Kovářská 900</v>
      </c>
      <c r="G110" s="2" t="str">
        <f>RIGHT(Tabulka1[[#This Row],[Adresa]],LEN(Tabulka1[[#This Row],[Adresa]])-LEN(Tabulka1[[#This Row],[Ulice]])-1)</f>
        <v>Tisá</v>
      </c>
      <c r="H110" s="2" t="str">
        <f>_xlfn.CONCAT(LOWER(Tabulka1[[#This Row],[příjmení bez mezer]]),".",LOWER(Tabulka1[[#This Row],[Jmeno bez mezer]]),"@firmaabc.cz")</f>
        <v>konecny.petr@firmaabc.cz</v>
      </c>
      <c r="I110" s="2" t="str">
        <f>_xlfn.CONCAT(LOWER(LEFT(Tabulka1[[#This Row],[příjmení bez mezer]],3)),UPPER(RIGHT(Tabulka1[[#This Row],[Jmeno bez mezer]],2)))</f>
        <v>konTR</v>
      </c>
      <c r="J110" s="2" t="s">
        <v>1229</v>
      </c>
      <c r="K110" s="2" t="s">
        <v>1721</v>
      </c>
      <c r="L110" s="3" t="s">
        <v>2119</v>
      </c>
    </row>
    <row r="111" spans="1:12" ht="60" x14ac:dyDescent="0.25">
      <c r="A111" s="2" t="s">
        <v>289</v>
      </c>
      <c r="B111" t="s">
        <v>113</v>
      </c>
      <c r="C111" t="s">
        <v>130</v>
      </c>
      <c r="D111" t="str">
        <f>TRIM(Tabulka1[[#This Row],[Jméno]])</f>
        <v>Jiri</v>
      </c>
      <c r="E111" t="str">
        <f>TRIM(Tabulka1[[#This Row],[Příjmení]])</f>
        <v>Bartos</v>
      </c>
      <c r="F111" s="2" t="str">
        <f>MID(Tabulka1[[#This Row],[Adresa]],1,SEARCH(",",Tabulka1[[#This Row],[Adresa]])-1)</f>
        <v>Žižkova 826</v>
      </c>
      <c r="G111" s="2" t="str">
        <f>RIGHT(Tabulka1[[#This Row],[Adresa]],LEN(Tabulka1[[#This Row],[Adresa]])-LEN(Tabulka1[[#This Row],[Ulice]])-1)</f>
        <v>Nezamyslice u Prostejova</v>
      </c>
      <c r="H111" s="2" t="str">
        <f>_xlfn.CONCAT(LOWER(Tabulka1[[#This Row],[příjmení bez mezer]]),".",LOWER(Tabulka1[[#This Row],[Jmeno bez mezer]]),"@firmaabc.cz")</f>
        <v>bartos.jiri@firmaabc.cz</v>
      </c>
      <c r="I111" s="2" t="str">
        <f>_xlfn.CONCAT(LOWER(LEFT(Tabulka1[[#This Row],[příjmení bez mezer]],3)),UPPER(RIGHT(Tabulka1[[#This Row],[Jmeno bez mezer]],2)))</f>
        <v>barRI</v>
      </c>
      <c r="J111" s="2" t="s">
        <v>1230</v>
      </c>
      <c r="K111" s="2" t="s">
        <v>1722</v>
      </c>
      <c r="L111" s="3" t="s">
        <v>2120</v>
      </c>
    </row>
    <row r="112" spans="1:12" ht="30" x14ac:dyDescent="0.25">
      <c r="A112" s="2" t="s">
        <v>290</v>
      </c>
      <c r="B112" t="s">
        <v>291</v>
      </c>
      <c r="C112" t="s">
        <v>292</v>
      </c>
      <c r="D112" t="str">
        <f>TRIM(Tabulka1[[#This Row],[Jméno]])</f>
        <v>Jirina</v>
      </c>
      <c r="E112" t="str">
        <f>TRIM(Tabulka1[[#This Row],[Příjmení]])</f>
        <v>Cernohousova</v>
      </c>
      <c r="F112" s="2" t="str">
        <f>MID(Tabulka1[[#This Row],[Adresa]],1,SEARCH(",",Tabulka1[[#This Row],[Adresa]])-1)</f>
        <v>Mlýnská 541</v>
      </c>
      <c r="G112" s="2" t="str">
        <f>RIGHT(Tabulka1[[#This Row],[Adresa]],LEN(Tabulka1[[#This Row],[Adresa]])-LEN(Tabulka1[[#This Row],[Ulice]])-1)</f>
        <v>Trešt</v>
      </c>
      <c r="H112" s="2" t="str">
        <f>_xlfn.CONCAT(LOWER(Tabulka1[[#This Row],[příjmení bez mezer]]),".",LOWER(Tabulka1[[#This Row],[Jmeno bez mezer]]),"@firmaabc.cz")</f>
        <v>cernohousova.jirina@firmaabc.cz</v>
      </c>
      <c r="I112" s="2" t="str">
        <f>_xlfn.CONCAT(LOWER(LEFT(Tabulka1[[#This Row],[příjmení bez mezer]],3)),UPPER(RIGHT(Tabulka1[[#This Row],[Jmeno bez mezer]],2)))</f>
        <v>cerNA</v>
      </c>
      <c r="J112" s="2" t="s">
        <v>1231</v>
      </c>
      <c r="K112" s="2" t="s">
        <v>1723</v>
      </c>
      <c r="L112" s="3" t="s">
        <v>2121</v>
      </c>
    </row>
    <row r="113" spans="1:12" ht="30" x14ac:dyDescent="0.25">
      <c r="A113" s="2" t="s">
        <v>293</v>
      </c>
      <c r="B113" t="s">
        <v>294</v>
      </c>
      <c r="C113" t="s">
        <v>295</v>
      </c>
      <c r="D113" t="str">
        <f>TRIM(Tabulka1[[#This Row],[Jméno]])</f>
        <v>Margit</v>
      </c>
      <c r="E113" t="str">
        <f>TRIM(Tabulka1[[#This Row],[Příjmení]])</f>
        <v>Salova</v>
      </c>
      <c r="F113" s="2" t="str">
        <f>MID(Tabulka1[[#This Row],[Adresa]],1,SEARCH(",",Tabulka1[[#This Row],[Adresa]])-1)</f>
        <v>Za Školou 1143</v>
      </c>
      <c r="G113" s="2" t="str">
        <f>RIGHT(Tabulka1[[#This Row],[Adresa]],LEN(Tabulka1[[#This Row],[Adresa]])-LEN(Tabulka1[[#This Row],[Ulice]])-1)</f>
        <v>Brno 21</v>
      </c>
      <c r="H113" s="2" t="str">
        <f>_xlfn.CONCAT(LOWER(Tabulka1[[#This Row],[příjmení bez mezer]]),".",LOWER(Tabulka1[[#This Row],[Jmeno bez mezer]]),"@firmaabc.cz")</f>
        <v>salova.margit@firmaabc.cz</v>
      </c>
      <c r="I113" s="2" t="str">
        <f>_xlfn.CONCAT(LOWER(LEFT(Tabulka1[[#This Row],[příjmení bez mezer]],3)),UPPER(RIGHT(Tabulka1[[#This Row],[Jmeno bez mezer]],2)))</f>
        <v>salIT</v>
      </c>
      <c r="J113" s="2" t="s">
        <v>1232</v>
      </c>
      <c r="K113" s="2" t="s">
        <v>1724</v>
      </c>
      <c r="L113" s="3" t="s">
        <v>2122</v>
      </c>
    </row>
    <row r="114" spans="1:12" ht="30" x14ac:dyDescent="0.25">
      <c r="A114" s="2" t="s">
        <v>296</v>
      </c>
      <c r="B114" t="s">
        <v>287</v>
      </c>
      <c r="C114" t="s">
        <v>297</v>
      </c>
      <c r="D114" t="str">
        <f>TRIM(Tabulka1[[#This Row],[Jméno]])</f>
        <v>Petr</v>
      </c>
      <c r="E114" t="str">
        <f>TRIM(Tabulka1[[#This Row],[Příjmení]])</f>
        <v>Stoudek</v>
      </c>
      <c r="F114" s="2" t="str">
        <f>MID(Tabulka1[[#This Row],[Adresa]],1,SEARCH(",",Tabulka1[[#This Row],[Adresa]])-1)</f>
        <v>Masarykova 15</v>
      </c>
      <c r="G114" s="2" t="str">
        <f>RIGHT(Tabulka1[[#This Row],[Adresa]],LEN(Tabulka1[[#This Row],[Adresa]])-LEN(Tabulka1[[#This Row],[Ulice]])-1)</f>
        <v>Zábreh</v>
      </c>
      <c r="H114" s="2" t="str">
        <f>_xlfn.CONCAT(LOWER(Tabulka1[[#This Row],[příjmení bez mezer]]),".",LOWER(Tabulka1[[#This Row],[Jmeno bez mezer]]),"@firmaabc.cz")</f>
        <v>stoudek.petr@firmaabc.cz</v>
      </c>
      <c r="I114" s="2" t="str">
        <f>_xlfn.CONCAT(LOWER(LEFT(Tabulka1[[#This Row],[příjmení bez mezer]],3)),UPPER(RIGHT(Tabulka1[[#This Row],[Jmeno bez mezer]],2)))</f>
        <v>stoTR</v>
      </c>
      <c r="J114" s="2" t="s">
        <v>1233</v>
      </c>
      <c r="K114" s="2" t="s">
        <v>1725</v>
      </c>
      <c r="L114" s="3" t="s">
        <v>2123</v>
      </c>
    </row>
    <row r="115" spans="1:12" ht="30" x14ac:dyDescent="0.25">
      <c r="A115" s="2" t="s">
        <v>298</v>
      </c>
      <c r="B115" t="s">
        <v>88</v>
      </c>
      <c r="C115" t="s">
        <v>213</v>
      </c>
      <c r="D115" t="str">
        <f>TRIM(Tabulka1[[#This Row],[Jméno]])</f>
        <v>Pavel</v>
      </c>
      <c r="E115" t="str">
        <f>TRIM(Tabulka1[[#This Row],[Příjmení]])</f>
        <v>Kratochvil</v>
      </c>
      <c r="F115" s="2" t="str">
        <f>MID(Tabulka1[[#This Row],[Adresa]],1,SEARCH(",",Tabulka1[[#This Row],[Adresa]])-1)</f>
        <v>Družstevní 1260</v>
      </c>
      <c r="G115" s="2" t="str">
        <f>RIGHT(Tabulka1[[#This Row],[Adresa]],LEN(Tabulka1[[#This Row],[Adresa]])-LEN(Tabulka1[[#This Row],[Ulice]])-1)</f>
        <v>Zbiroh</v>
      </c>
      <c r="H115" s="2" t="str">
        <f>_xlfn.CONCAT(LOWER(Tabulka1[[#This Row],[příjmení bez mezer]]),".",LOWER(Tabulka1[[#This Row],[Jmeno bez mezer]]),"@firmaabc.cz")</f>
        <v>kratochvil.pavel@firmaabc.cz</v>
      </c>
      <c r="I115" s="2" t="str">
        <f>_xlfn.CONCAT(LOWER(LEFT(Tabulka1[[#This Row],[příjmení bez mezer]],3)),UPPER(RIGHT(Tabulka1[[#This Row],[Jmeno bez mezer]],2)))</f>
        <v>kraEL</v>
      </c>
      <c r="J115" s="2" t="s">
        <v>1234</v>
      </c>
      <c r="K115" s="2" t="s">
        <v>1726</v>
      </c>
      <c r="L115" s="3" t="s">
        <v>2124</v>
      </c>
    </row>
    <row r="116" spans="1:12" ht="30" x14ac:dyDescent="0.25">
      <c r="A116" s="2" t="s">
        <v>299</v>
      </c>
      <c r="B116" t="s">
        <v>300</v>
      </c>
      <c r="C116" t="s">
        <v>301</v>
      </c>
      <c r="D116" t="str">
        <f>TRIM(Tabulka1[[#This Row],[Jméno]])</f>
        <v>Sergii</v>
      </c>
      <c r="E116" t="str">
        <f>TRIM(Tabulka1[[#This Row],[Příjmení]])</f>
        <v>Silhan</v>
      </c>
      <c r="F116" s="2" t="str">
        <f>MID(Tabulka1[[#This Row],[Adresa]],1,SEARCH(",",Tabulka1[[#This Row],[Adresa]])-1)</f>
        <v>Pod Strání 236</v>
      </c>
      <c r="G116" s="2" t="str">
        <f>RIGHT(Tabulka1[[#This Row],[Adresa]],LEN(Tabulka1[[#This Row],[Adresa]])-LEN(Tabulka1[[#This Row],[Ulice]])-1)</f>
        <v>Hostinné</v>
      </c>
      <c r="H116" s="2" t="str">
        <f>_xlfn.CONCAT(LOWER(Tabulka1[[#This Row],[příjmení bez mezer]]),".",LOWER(Tabulka1[[#This Row],[Jmeno bez mezer]]),"@firmaabc.cz")</f>
        <v>silhan.sergii@firmaabc.cz</v>
      </c>
      <c r="I116" s="2" t="str">
        <f>_xlfn.CONCAT(LOWER(LEFT(Tabulka1[[#This Row],[příjmení bez mezer]],3)),UPPER(RIGHT(Tabulka1[[#This Row],[Jmeno bez mezer]],2)))</f>
        <v>silII</v>
      </c>
      <c r="J116" s="2" t="s">
        <v>1235</v>
      </c>
      <c r="K116" s="2" t="s">
        <v>1679</v>
      </c>
      <c r="L116" s="3" t="s">
        <v>2125</v>
      </c>
    </row>
    <row r="117" spans="1:12" ht="45" x14ac:dyDescent="0.25">
      <c r="A117" s="2" t="s">
        <v>302</v>
      </c>
      <c r="B117" t="s">
        <v>303</v>
      </c>
      <c r="C117" t="s">
        <v>304</v>
      </c>
      <c r="D117" t="str">
        <f>TRIM(Tabulka1[[#This Row],[Jméno]])</f>
        <v>Lenka</v>
      </c>
      <c r="E117" t="str">
        <f>TRIM(Tabulka1[[#This Row],[Příjmení]])</f>
        <v>Dolezalova</v>
      </c>
      <c r="F117" s="2" t="str">
        <f>MID(Tabulka1[[#This Row],[Adresa]],1,SEARCH(",",Tabulka1[[#This Row],[Adresa]])-1)</f>
        <v>Klimenta Čermáka 1026</v>
      </c>
      <c r="G117" s="2" t="str">
        <f>RIGHT(Tabulka1[[#This Row],[Adresa]],LEN(Tabulka1[[#This Row],[Adresa]])-LEN(Tabulka1[[#This Row],[Ulice]])-1)</f>
        <v>Cáslav</v>
      </c>
      <c r="H117" s="2" t="str">
        <f>_xlfn.CONCAT(LOWER(Tabulka1[[#This Row],[příjmení bez mezer]]),".",LOWER(Tabulka1[[#This Row],[Jmeno bez mezer]]),"@firmaabc.cz")</f>
        <v>dolezalova.lenka@firmaabc.cz</v>
      </c>
      <c r="I117" s="2" t="str">
        <f>_xlfn.CONCAT(LOWER(LEFT(Tabulka1[[#This Row],[příjmení bez mezer]],3)),UPPER(RIGHT(Tabulka1[[#This Row],[Jmeno bez mezer]],2)))</f>
        <v>dolKA</v>
      </c>
      <c r="J117" s="2" t="s">
        <v>1236</v>
      </c>
      <c r="K117" s="2" t="s">
        <v>1727</v>
      </c>
      <c r="L117" s="3" t="s">
        <v>2126</v>
      </c>
    </row>
    <row r="118" spans="1:12" ht="30" x14ac:dyDescent="0.25">
      <c r="A118" s="2" t="s">
        <v>305</v>
      </c>
      <c r="B118" t="s">
        <v>96</v>
      </c>
      <c r="C118" t="s">
        <v>306</v>
      </c>
      <c r="D118" t="str">
        <f>TRIM(Tabulka1[[#This Row],[Jméno]])</f>
        <v>Lukas</v>
      </c>
      <c r="E118" t="str">
        <f>TRIM(Tabulka1[[#This Row],[Příjmení]])</f>
        <v>Conka</v>
      </c>
      <c r="F118" s="2" t="str">
        <f>MID(Tabulka1[[#This Row],[Adresa]],1,SEARCH(",",Tabulka1[[#This Row],[Adresa]])-1)</f>
        <v>Příkopy 1635</v>
      </c>
      <c r="G118" s="2" t="str">
        <f>RIGHT(Tabulka1[[#This Row],[Adresa]],LEN(Tabulka1[[#This Row],[Adresa]])-LEN(Tabulka1[[#This Row],[Ulice]])-1)</f>
        <v>Ústí nad Orlicí 1</v>
      </c>
      <c r="H118" s="2" t="str">
        <f>_xlfn.CONCAT(LOWER(Tabulka1[[#This Row],[příjmení bez mezer]]),".",LOWER(Tabulka1[[#This Row],[Jmeno bez mezer]]),"@firmaabc.cz")</f>
        <v>conka.lukas@firmaabc.cz</v>
      </c>
      <c r="I118" s="2" t="str">
        <f>_xlfn.CONCAT(LOWER(LEFT(Tabulka1[[#This Row],[příjmení bez mezer]],3)),UPPER(RIGHT(Tabulka1[[#This Row],[Jmeno bez mezer]],2)))</f>
        <v>conAS</v>
      </c>
      <c r="J118" s="2" t="s">
        <v>1237</v>
      </c>
      <c r="K118" s="2" t="s">
        <v>1728</v>
      </c>
      <c r="L118" s="3" t="s">
        <v>2127</v>
      </c>
    </row>
    <row r="119" spans="1:12" ht="30" x14ac:dyDescent="0.25">
      <c r="A119" s="2" t="s">
        <v>307</v>
      </c>
      <c r="B119" t="s">
        <v>308</v>
      </c>
      <c r="C119" t="s">
        <v>309</v>
      </c>
      <c r="D119" t="str">
        <f>TRIM(Tabulka1[[#This Row],[Jméno]])</f>
        <v>Stanislav</v>
      </c>
      <c r="E119" t="str">
        <f>TRIM(Tabulka1[[#This Row],[Příjmení]])</f>
        <v>Slavicek</v>
      </c>
      <c r="F119" s="2" t="str">
        <f>MID(Tabulka1[[#This Row],[Adresa]],1,SEARCH(",",Tabulka1[[#This Row],[Adresa]])-1)</f>
        <v>Zahradní 1384</v>
      </c>
      <c r="G119" s="2" t="str">
        <f>RIGHT(Tabulka1[[#This Row],[Adresa]],LEN(Tabulka1[[#This Row],[Adresa]])-LEN(Tabulka1[[#This Row],[Ulice]])-1)</f>
        <v>Cechtín</v>
      </c>
      <c r="H119" s="2" t="str">
        <f>_xlfn.CONCAT(LOWER(Tabulka1[[#This Row],[příjmení bez mezer]]),".",LOWER(Tabulka1[[#This Row],[Jmeno bez mezer]]),"@firmaabc.cz")</f>
        <v>slavicek.stanislav@firmaabc.cz</v>
      </c>
      <c r="I119" s="2" t="str">
        <f>_xlfn.CONCAT(LOWER(LEFT(Tabulka1[[#This Row],[příjmení bez mezer]],3)),UPPER(RIGHT(Tabulka1[[#This Row],[Jmeno bez mezer]],2)))</f>
        <v>slaAV</v>
      </c>
      <c r="J119" s="2" t="s">
        <v>1238</v>
      </c>
      <c r="K119" s="2" t="s">
        <v>1729</v>
      </c>
      <c r="L119" s="3" t="s">
        <v>2128</v>
      </c>
    </row>
    <row r="120" spans="1:12" ht="45" x14ac:dyDescent="0.25">
      <c r="A120" s="2" t="s">
        <v>310</v>
      </c>
      <c r="B120" t="s">
        <v>311</v>
      </c>
      <c r="C120" t="s">
        <v>312</v>
      </c>
      <c r="D120" t="str">
        <f>TRIM(Tabulka1[[#This Row],[Jméno]])</f>
        <v>Lucie</v>
      </c>
      <c r="E120" t="str">
        <f>TRIM(Tabulka1[[#This Row],[Příjmení]])</f>
        <v>Kratochvilova</v>
      </c>
      <c r="F120" s="2" t="str">
        <f>MID(Tabulka1[[#This Row],[Adresa]],1,SEARCH(",",Tabulka1[[#This Row],[Adresa]])-1)</f>
        <v>Za učilištěm 734</v>
      </c>
      <c r="G120" s="2" t="str">
        <f>RIGHT(Tabulka1[[#This Row],[Adresa]],LEN(Tabulka1[[#This Row],[Adresa]])-LEN(Tabulka1[[#This Row],[Ulice]])-1)</f>
        <v>Dobrá</v>
      </c>
      <c r="H120" s="2" t="str">
        <f>_xlfn.CONCAT(LOWER(Tabulka1[[#This Row],[příjmení bez mezer]]),".",LOWER(Tabulka1[[#This Row],[Jmeno bez mezer]]),"@firmaabc.cz")</f>
        <v>kratochvilova.lucie@firmaabc.cz</v>
      </c>
      <c r="I120" s="2" t="str">
        <f>_xlfn.CONCAT(LOWER(LEFT(Tabulka1[[#This Row],[příjmení bez mezer]],3)),UPPER(RIGHT(Tabulka1[[#This Row],[Jmeno bez mezer]],2)))</f>
        <v>kraIE</v>
      </c>
      <c r="J120" s="2" t="s">
        <v>1239</v>
      </c>
      <c r="K120" s="2" t="s">
        <v>1730</v>
      </c>
      <c r="L120" s="3" t="s">
        <v>2129</v>
      </c>
    </row>
    <row r="121" spans="1:12" ht="30" x14ac:dyDescent="0.25">
      <c r="A121" s="2" t="s">
        <v>313</v>
      </c>
      <c r="B121" t="s">
        <v>45</v>
      </c>
      <c r="C121" t="s">
        <v>314</v>
      </c>
      <c r="D121" t="str">
        <f>TRIM(Tabulka1[[#This Row],[Jméno]])</f>
        <v>Tomas</v>
      </c>
      <c r="E121" t="str">
        <f>TRIM(Tabulka1[[#This Row],[Příjmení]])</f>
        <v>Kubasek</v>
      </c>
      <c r="F121" s="2" t="str">
        <f>MID(Tabulka1[[#This Row],[Adresa]],1,SEARCH(",",Tabulka1[[#This Row],[Adresa]])-1)</f>
        <v>Švermova 1852</v>
      </c>
      <c r="G121" s="2" t="str">
        <f>RIGHT(Tabulka1[[#This Row],[Adresa]],LEN(Tabulka1[[#This Row],[Adresa]])-LEN(Tabulka1[[#This Row],[Ulice]])-1)</f>
        <v>Liberec 6</v>
      </c>
      <c r="H121" s="2" t="str">
        <f>_xlfn.CONCAT(LOWER(Tabulka1[[#This Row],[příjmení bez mezer]]),".",LOWER(Tabulka1[[#This Row],[Jmeno bez mezer]]),"@firmaabc.cz")</f>
        <v>kubasek.tomas@firmaabc.cz</v>
      </c>
      <c r="I121" s="2" t="str">
        <f>_xlfn.CONCAT(LOWER(LEFT(Tabulka1[[#This Row],[příjmení bez mezer]],3)),UPPER(RIGHT(Tabulka1[[#This Row],[Jmeno bez mezer]],2)))</f>
        <v>kubAS</v>
      </c>
      <c r="J121" s="2" t="s">
        <v>1240</v>
      </c>
      <c r="K121" s="2" t="s">
        <v>1731</v>
      </c>
      <c r="L121" s="3" t="s">
        <v>2130</v>
      </c>
    </row>
    <row r="122" spans="1:12" ht="45" x14ac:dyDescent="0.25">
      <c r="A122" s="2" t="s">
        <v>315</v>
      </c>
      <c r="B122" t="s">
        <v>160</v>
      </c>
      <c r="C122" t="s">
        <v>316</v>
      </c>
      <c r="D122" t="str">
        <f>TRIM(Tabulka1[[#This Row],[Jméno]])</f>
        <v>Jaroslava</v>
      </c>
      <c r="E122" t="str">
        <f>TRIM(Tabulka1[[#This Row],[Příjmení]])</f>
        <v>Krejci</v>
      </c>
      <c r="F122" s="2" t="str">
        <f>MID(Tabulka1[[#This Row],[Adresa]],1,SEARCH(",",Tabulka1[[#This Row],[Adresa]])-1)</f>
        <v>Klimenta Čermáka 100</v>
      </c>
      <c r="G122" s="2" t="str">
        <f>RIGHT(Tabulka1[[#This Row],[Adresa]],LEN(Tabulka1[[#This Row],[Adresa]])-LEN(Tabulka1[[#This Row],[Ulice]])-1)</f>
        <v>Cáslav</v>
      </c>
      <c r="H122" s="2" t="str">
        <f>_xlfn.CONCAT(LOWER(Tabulka1[[#This Row],[příjmení bez mezer]]),".",LOWER(Tabulka1[[#This Row],[Jmeno bez mezer]]),"@firmaabc.cz")</f>
        <v>krejci.jaroslava@firmaabc.cz</v>
      </c>
      <c r="I122" s="2" t="str">
        <f>_xlfn.CONCAT(LOWER(LEFT(Tabulka1[[#This Row],[příjmení bez mezer]],3)),UPPER(RIGHT(Tabulka1[[#This Row],[Jmeno bez mezer]],2)))</f>
        <v>kreVA</v>
      </c>
      <c r="J122" s="2" t="s">
        <v>1241</v>
      </c>
      <c r="K122" s="2" t="s">
        <v>1727</v>
      </c>
      <c r="L122" s="3" t="s">
        <v>2131</v>
      </c>
    </row>
    <row r="123" spans="1:12" ht="45" x14ac:dyDescent="0.25">
      <c r="A123" s="2" t="s">
        <v>317</v>
      </c>
      <c r="B123" t="s">
        <v>70</v>
      </c>
      <c r="C123" t="s">
        <v>318</v>
      </c>
      <c r="D123" t="str">
        <f>TRIM(Tabulka1[[#This Row],[Jméno]])</f>
        <v>Jakub</v>
      </c>
      <c r="E123" t="str">
        <f>TRIM(Tabulka1[[#This Row],[Příjmení]])</f>
        <v>?Svoboda</v>
      </c>
      <c r="F123" s="2" t="str">
        <f>MID(Tabulka1[[#This Row],[Adresa]],1,SEARCH(",",Tabulka1[[#This Row],[Adresa]])-1)</f>
        <v>V Zahradách 1552</v>
      </c>
      <c r="G123" s="2" t="str">
        <f>RIGHT(Tabulka1[[#This Row],[Adresa]],LEN(Tabulka1[[#This Row],[Adresa]])-LEN(Tabulka1[[#This Row],[Ulice]])-1)</f>
        <v>Prerov 2</v>
      </c>
      <c r="H123" s="2" t="str">
        <f>_xlfn.CONCAT(LOWER(Tabulka1[[#This Row],[příjmení bez mezer]]),".",LOWER(Tabulka1[[#This Row],[Jmeno bez mezer]]),"@firmaabc.cz")</f>
        <v>?svoboda.jakub@firmaabc.cz</v>
      </c>
      <c r="I123" s="2" t="str">
        <f>_xlfn.CONCAT(LOWER(LEFT(Tabulka1[[#This Row],[příjmení bez mezer]],3)),UPPER(RIGHT(Tabulka1[[#This Row],[Jmeno bez mezer]],2)))</f>
        <v>?svUB</v>
      </c>
      <c r="J123" s="2" t="s">
        <v>1242</v>
      </c>
      <c r="K123" s="2" t="s">
        <v>1732</v>
      </c>
      <c r="L123" s="3" t="s">
        <v>2132</v>
      </c>
    </row>
    <row r="124" spans="1:12" ht="60" x14ac:dyDescent="0.25">
      <c r="A124" s="2" t="s">
        <v>319</v>
      </c>
      <c r="B124" t="s">
        <v>320</v>
      </c>
      <c r="C124" t="s">
        <v>321</v>
      </c>
      <c r="D124" t="str">
        <f>TRIM(Tabulka1[[#This Row],[Jméno]])</f>
        <v>Helena</v>
      </c>
      <c r="E124" t="str">
        <f>TRIM(Tabulka1[[#This Row],[Příjmení]])</f>
        <v>Borovickova</v>
      </c>
      <c r="F124" s="2" t="str">
        <f>MID(Tabulka1[[#This Row],[Adresa]],1,SEARCH(",",Tabulka1[[#This Row],[Adresa]])-1)</f>
        <v>Sokolská 1923</v>
      </c>
      <c r="G124" s="2" t="str">
        <f>RIGHT(Tabulka1[[#This Row],[Adresa]],LEN(Tabulka1[[#This Row],[Adresa]])-LEN(Tabulka1[[#This Row],[Ulice]])-1)</f>
        <v>Dukovany-elektrárna</v>
      </c>
      <c r="H124" s="2" t="str">
        <f>_xlfn.CONCAT(LOWER(Tabulka1[[#This Row],[příjmení bez mezer]]),".",LOWER(Tabulka1[[#This Row],[Jmeno bez mezer]]),"@firmaabc.cz")</f>
        <v>borovickova.helena@firmaabc.cz</v>
      </c>
      <c r="I124" s="2" t="str">
        <f>_xlfn.CONCAT(LOWER(LEFT(Tabulka1[[#This Row],[příjmení bez mezer]],3)),UPPER(RIGHT(Tabulka1[[#This Row],[Jmeno bez mezer]],2)))</f>
        <v>borNA</v>
      </c>
      <c r="J124" s="2" t="s">
        <v>1243</v>
      </c>
      <c r="K124" s="2" t="s">
        <v>1733</v>
      </c>
      <c r="L124" s="3" t="s">
        <v>2133</v>
      </c>
    </row>
    <row r="125" spans="1:12" ht="30" x14ac:dyDescent="0.25">
      <c r="A125" s="2" t="s">
        <v>322</v>
      </c>
      <c r="B125" t="s">
        <v>24</v>
      </c>
      <c r="C125" t="s">
        <v>287</v>
      </c>
      <c r="D125" t="str">
        <f>TRIM(Tabulka1[[#This Row],[Jméno]])</f>
        <v>Jan</v>
      </c>
      <c r="E125" t="str">
        <f>TRIM(Tabulka1[[#This Row],[Příjmení]])</f>
        <v>Petr</v>
      </c>
      <c r="F125" s="2" t="str">
        <f>MID(Tabulka1[[#This Row],[Adresa]],1,SEARCH(",",Tabulka1[[#This Row],[Adresa]])-1)</f>
        <v>Truhlářská 788</v>
      </c>
      <c r="G125" s="2" t="str">
        <f>RIGHT(Tabulka1[[#This Row],[Adresa]],LEN(Tabulka1[[#This Row],[Adresa]])-LEN(Tabulka1[[#This Row],[Ulice]])-1)</f>
        <v>Pacov</v>
      </c>
      <c r="H125" s="2" t="str">
        <f>_xlfn.CONCAT(LOWER(Tabulka1[[#This Row],[příjmení bez mezer]]),".",LOWER(Tabulka1[[#This Row],[Jmeno bez mezer]]),"@firmaabc.cz")</f>
        <v>petr.jan@firmaabc.cz</v>
      </c>
      <c r="I125" s="2" t="str">
        <f>_xlfn.CONCAT(LOWER(LEFT(Tabulka1[[#This Row],[příjmení bez mezer]],3)),UPPER(RIGHT(Tabulka1[[#This Row],[Jmeno bez mezer]],2)))</f>
        <v>petAN</v>
      </c>
      <c r="J125" s="2" t="s">
        <v>1244</v>
      </c>
      <c r="K125" s="2" t="s">
        <v>1734</v>
      </c>
      <c r="L125" s="3" t="s">
        <v>2134</v>
      </c>
    </row>
    <row r="126" spans="1:12" ht="30" x14ac:dyDescent="0.25">
      <c r="A126" s="2" t="s">
        <v>323</v>
      </c>
      <c r="B126" t="s">
        <v>324</v>
      </c>
      <c r="C126" t="s">
        <v>325</v>
      </c>
      <c r="D126" t="str">
        <f>TRIM(Tabulka1[[#This Row],[Jméno]])</f>
        <v>Milan</v>
      </c>
      <c r="E126" t="str">
        <f>TRIM(Tabulka1[[#This Row],[Příjmení]])</f>
        <v>Hegr</v>
      </c>
      <c r="F126" s="2" t="str">
        <f>MID(Tabulka1[[#This Row],[Adresa]],1,SEARCH(",",Tabulka1[[#This Row],[Adresa]])-1)</f>
        <v>Tylova 918</v>
      </c>
      <c r="G126" s="2" t="str">
        <f>RIGHT(Tabulka1[[#This Row],[Adresa]],LEN(Tabulka1[[#This Row],[Adresa]])-LEN(Tabulka1[[#This Row],[Ulice]])-1)</f>
        <v>Ostrov nad Ohrí</v>
      </c>
      <c r="H126" s="2" t="str">
        <f>_xlfn.CONCAT(LOWER(Tabulka1[[#This Row],[příjmení bez mezer]]),".",LOWER(Tabulka1[[#This Row],[Jmeno bez mezer]]),"@firmaabc.cz")</f>
        <v>hegr.milan@firmaabc.cz</v>
      </c>
      <c r="I126" s="2" t="str">
        <f>_xlfn.CONCAT(LOWER(LEFT(Tabulka1[[#This Row],[příjmení bez mezer]],3)),UPPER(RIGHT(Tabulka1[[#This Row],[Jmeno bez mezer]],2)))</f>
        <v>hegAN</v>
      </c>
      <c r="J126" s="2" t="s">
        <v>1245</v>
      </c>
      <c r="K126" s="2" t="s">
        <v>1735</v>
      </c>
      <c r="L126" s="3" t="s">
        <v>2135</v>
      </c>
    </row>
    <row r="127" spans="1:12" ht="45" x14ac:dyDescent="0.25">
      <c r="A127" s="2" t="s">
        <v>326</v>
      </c>
      <c r="B127" t="s">
        <v>24</v>
      </c>
      <c r="C127" t="s">
        <v>327</v>
      </c>
      <c r="D127" t="str">
        <f>TRIM(Tabulka1[[#This Row],[Jméno]])</f>
        <v>Jan</v>
      </c>
      <c r="E127" t="str">
        <f>TRIM(Tabulka1[[#This Row],[Příjmení]])</f>
        <v>Zdarsky</v>
      </c>
      <c r="F127" s="2" t="str">
        <f>MID(Tabulka1[[#This Row],[Adresa]],1,SEARCH(",",Tabulka1[[#This Row],[Adresa]])-1)</f>
        <v>Na Kopečku 241</v>
      </c>
      <c r="G127" s="2" t="str">
        <f>RIGHT(Tabulka1[[#This Row],[Adresa]],LEN(Tabulka1[[#This Row],[Adresa]])-LEN(Tabulka1[[#This Row],[Ulice]])-1)</f>
        <v>Nechanice</v>
      </c>
      <c r="H127" s="2" t="str">
        <f>_xlfn.CONCAT(LOWER(Tabulka1[[#This Row],[příjmení bez mezer]]),".",LOWER(Tabulka1[[#This Row],[Jmeno bez mezer]]),"@firmaabc.cz")</f>
        <v>zdarsky.jan@firmaabc.cz</v>
      </c>
      <c r="I127" s="2" t="str">
        <f>_xlfn.CONCAT(LOWER(LEFT(Tabulka1[[#This Row],[příjmení bez mezer]],3)),UPPER(RIGHT(Tabulka1[[#This Row],[Jmeno bez mezer]],2)))</f>
        <v>zdaAN</v>
      </c>
      <c r="J127" s="2" t="s">
        <v>1246</v>
      </c>
      <c r="K127" s="2" t="s">
        <v>1736</v>
      </c>
      <c r="L127" s="3" t="s">
        <v>2136</v>
      </c>
    </row>
    <row r="128" spans="1:12" ht="30" x14ac:dyDescent="0.25">
      <c r="A128" s="2" t="s">
        <v>328</v>
      </c>
      <c r="B128" t="s">
        <v>329</v>
      </c>
      <c r="C128" t="s">
        <v>330</v>
      </c>
      <c r="D128" t="str">
        <f>TRIM(Tabulka1[[#This Row],[Jméno]])</f>
        <v>Klaudie</v>
      </c>
      <c r="E128" t="str">
        <f>TRIM(Tabulka1[[#This Row],[Příjmení]])</f>
        <v>Kureckova</v>
      </c>
      <c r="F128" s="2" t="str">
        <f>MID(Tabulka1[[#This Row],[Adresa]],1,SEARCH(",",Tabulka1[[#This Row],[Adresa]])-1)</f>
        <v>Barákova 619</v>
      </c>
      <c r="G128" s="2" t="str">
        <f>RIGHT(Tabulka1[[#This Row],[Adresa]],LEN(Tabulka1[[#This Row],[Adresa]])-LEN(Tabulka1[[#This Row],[Ulice]])-1)</f>
        <v>Škvorec</v>
      </c>
      <c r="H128" s="2" t="str">
        <f>_xlfn.CONCAT(LOWER(Tabulka1[[#This Row],[příjmení bez mezer]]),".",LOWER(Tabulka1[[#This Row],[Jmeno bez mezer]]),"@firmaabc.cz")</f>
        <v>kureckova.klaudie@firmaabc.cz</v>
      </c>
      <c r="I128" s="2" t="str">
        <f>_xlfn.CONCAT(LOWER(LEFT(Tabulka1[[#This Row],[příjmení bez mezer]],3)),UPPER(RIGHT(Tabulka1[[#This Row],[Jmeno bez mezer]],2)))</f>
        <v>kurIE</v>
      </c>
      <c r="J128" s="2" t="s">
        <v>1247</v>
      </c>
      <c r="K128" s="2" t="s">
        <v>1737</v>
      </c>
      <c r="L128" s="3" t="s">
        <v>2137</v>
      </c>
    </row>
    <row r="129" spans="1:12" ht="30" x14ac:dyDescent="0.25">
      <c r="A129" s="2" t="s">
        <v>331</v>
      </c>
      <c r="B129" t="s">
        <v>148</v>
      </c>
      <c r="C129" t="s">
        <v>332</v>
      </c>
      <c r="D129" t="str">
        <f>TRIM(Tabulka1[[#This Row],[Jméno]])</f>
        <v>Josef</v>
      </c>
      <c r="E129" t="str">
        <f>TRIM(Tabulka1[[#This Row],[Příjmení]])</f>
        <v>?Prochazka</v>
      </c>
      <c r="F129" s="2" t="str">
        <f>MID(Tabulka1[[#This Row],[Adresa]],1,SEARCH(",",Tabulka1[[#This Row],[Adresa]])-1)</f>
        <v>Pivovarská 1660</v>
      </c>
      <c r="G129" s="2" t="str">
        <f>RIGHT(Tabulka1[[#This Row],[Adresa]],LEN(Tabulka1[[#This Row],[Adresa]])-LEN(Tabulka1[[#This Row],[Ulice]])-1)</f>
        <v>Velemín</v>
      </c>
      <c r="H129" s="2" t="str">
        <f>_xlfn.CONCAT(LOWER(Tabulka1[[#This Row],[příjmení bez mezer]]),".",LOWER(Tabulka1[[#This Row],[Jmeno bez mezer]]),"@firmaabc.cz")</f>
        <v>?prochazka.josef@firmaabc.cz</v>
      </c>
      <c r="I129" s="2" t="str">
        <f>_xlfn.CONCAT(LOWER(LEFT(Tabulka1[[#This Row],[příjmení bez mezer]],3)),UPPER(RIGHT(Tabulka1[[#This Row],[Jmeno bez mezer]],2)))</f>
        <v>?prEF</v>
      </c>
      <c r="J129" s="2" t="s">
        <v>1248</v>
      </c>
      <c r="K129" s="2" t="s">
        <v>1738</v>
      </c>
      <c r="L129" s="3" t="s">
        <v>2138</v>
      </c>
    </row>
    <row r="130" spans="1:12" ht="60" x14ac:dyDescent="0.25">
      <c r="A130" s="2" t="s">
        <v>333</v>
      </c>
      <c r="B130" t="s">
        <v>334</v>
      </c>
      <c r="C130" t="s">
        <v>335</v>
      </c>
      <c r="D130" t="str">
        <f>TRIM(Tabulka1[[#This Row],[Jméno]])</f>
        <v>Zuzana</v>
      </c>
      <c r="E130" t="str">
        <f>TRIM(Tabulka1[[#This Row],[Příjmení]])</f>
        <v>Nedvedova</v>
      </c>
      <c r="F130" s="2" t="str">
        <f>MID(Tabulka1[[#This Row],[Adresa]],1,SEARCH(",",Tabulka1[[#This Row],[Adresa]])-1)</f>
        <v>Dobrovského 897</v>
      </c>
      <c r="G130" s="2" t="str">
        <f>RIGHT(Tabulka1[[#This Row],[Adresa]],LEN(Tabulka1[[#This Row],[Adresa]])-LEN(Tabulka1[[#This Row],[Ulice]])-1)</f>
        <v>Kostelec nad Cernými Lesy</v>
      </c>
      <c r="H130" s="2" t="str">
        <f>_xlfn.CONCAT(LOWER(Tabulka1[[#This Row],[příjmení bez mezer]]),".",LOWER(Tabulka1[[#This Row],[Jmeno bez mezer]]),"@firmaabc.cz")</f>
        <v>nedvedova.zuzana@firmaabc.cz</v>
      </c>
      <c r="I130" s="2" t="str">
        <f>_xlfn.CONCAT(LOWER(LEFT(Tabulka1[[#This Row],[příjmení bez mezer]],3)),UPPER(RIGHT(Tabulka1[[#This Row],[Jmeno bez mezer]],2)))</f>
        <v>nedNA</v>
      </c>
      <c r="J130" s="2" t="s">
        <v>1249</v>
      </c>
      <c r="K130" s="2" t="s">
        <v>1673</v>
      </c>
      <c r="L130" s="3" t="s">
        <v>2139</v>
      </c>
    </row>
    <row r="131" spans="1:12" ht="30" x14ac:dyDescent="0.25">
      <c r="A131" s="2" t="s">
        <v>336</v>
      </c>
      <c r="B131" t="s">
        <v>308</v>
      </c>
      <c r="C131" t="s">
        <v>102</v>
      </c>
      <c r="D131" t="str">
        <f>TRIM(Tabulka1[[#This Row],[Jméno]])</f>
        <v>Stanislav</v>
      </c>
      <c r="E131" t="str">
        <f>TRIM(Tabulka1[[#This Row],[Příjmení]])</f>
        <v>Tuma</v>
      </c>
      <c r="F131" s="2" t="str">
        <f>MID(Tabulka1[[#This Row],[Adresa]],1,SEARCH(",",Tabulka1[[#This Row],[Adresa]])-1)</f>
        <v>Větrník 1302</v>
      </c>
      <c r="G131" s="2" t="str">
        <f>RIGHT(Tabulka1[[#This Row],[Adresa]],LEN(Tabulka1[[#This Row],[Adresa]])-LEN(Tabulka1[[#This Row],[Ulice]])-1)</f>
        <v>Cervený Kostelec</v>
      </c>
      <c r="H131" s="2" t="str">
        <f>_xlfn.CONCAT(LOWER(Tabulka1[[#This Row],[příjmení bez mezer]]),".",LOWER(Tabulka1[[#This Row],[Jmeno bez mezer]]),"@firmaabc.cz")</f>
        <v>tuma.stanislav@firmaabc.cz</v>
      </c>
      <c r="I131" s="2" t="str">
        <f>_xlfn.CONCAT(LOWER(LEFT(Tabulka1[[#This Row],[příjmení bez mezer]],3)),UPPER(RIGHT(Tabulka1[[#This Row],[Jmeno bez mezer]],2)))</f>
        <v>tumAV</v>
      </c>
      <c r="J131" s="2" t="s">
        <v>1250</v>
      </c>
      <c r="K131" s="2" t="s">
        <v>1739</v>
      </c>
      <c r="L131" s="3" t="s">
        <v>2140</v>
      </c>
    </row>
    <row r="132" spans="1:12" ht="30" x14ac:dyDescent="0.25">
      <c r="A132" s="2" t="s">
        <v>337</v>
      </c>
      <c r="B132" t="s">
        <v>338</v>
      </c>
      <c r="C132" t="s">
        <v>339</v>
      </c>
      <c r="D132" t="str">
        <f>TRIM(Tabulka1[[#This Row],[Jméno]])</f>
        <v>Lubos</v>
      </c>
      <c r="E132" t="str">
        <f>TRIM(Tabulka1[[#This Row],[Příjmení]])</f>
        <v>Matal</v>
      </c>
      <c r="F132" s="2" t="str">
        <f>MID(Tabulka1[[#This Row],[Adresa]],1,SEARCH(",",Tabulka1[[#This Row],[Adresa]])-1)</f>
        <v>Dvořákova 1248</v>
      </c>
      <c r="G132" s="2" t="str">
        <f>RIGHT(Tabulka1[[#This Row],[Adresa]],LEN(Tabulka1[[#This Row],[Adresa]])-LEN(Tabulka1[[#This Row],[Ulice]])-1)</f>
        <v>Ondrejov</v>
      </c>
      <c r="H132" s="2" t="str">
        <f>_xlfn.CONCAT(LOWER(Tabulka1[[#This Row],[příjmení bez mezer]]),".",LOWER(Tabulka1[[#This Row],[Jmeno bez mezer]]),"@firmaabc.cz")</f>
        <v>matal.lubos@firmaabc.cz</v>
      </c>
      <c r="I132" s="2" t="str">
        <f>_xlfn.CONCAT(LOWER(LEFT(Tabulka1[[#This Row],[příjmení bez mezer]],3)),UPPER(RIGHT(Tabulka1[[#This Row],[Jmeno bez mezer]],2)))</f>
        <v>matOS</v>
      </c>
      <c r="J132" s="2" t="s">
        <v>1251</v>
      </c>
      <c r="K132" s="2" t="s">
        <v>1740</v>
      </c>
      <c r="L132" s="3" t="s">
        <v>2141</v>
      </c>
    </row>
    <row r="133" spans="1:12" ht="45" x14ac:dyDescent="0.25">
      <c r="A133" s="2" t="s">
        <v>340</v>
      </c>
      <c r="B133" t="s">
        <v>341</v>
      </c>
      <c r="C133" t="s">
        <v>342</v>
      </c>
      <c r="D133" t="str">
        <f>TRIM(Tabulka1[[#This Row],[Jméno]])</f>
        <v>Pavlina</v>
      </c>
      <c r="E133" t="str">
        <f>TRIM(Tabulka1[[#This Row],[Příjmení]])</f>
        <v>Hlavata</v>
      </c>
      <c r="F133" s="2" t="str">
        <f>MID(Tabulka1[[#This Row],[Adresa]],1,SEARCH(",",Tabulka1[[#This Row],[Adresa]])-1)</f>
        <v>Bratří Čapků 82</v>
      </c>
      <c r="G133" s="2" t="str">
        <f>RIGHT(Tabulka1[[#This Row],[Adresa]],LEN(Tabulka1[[#This Row],[Adresa]])-LEN(Tabulka1[[#This Row],[Ulice]])-1)</f>
        <v>Bohuslavice nad Metují</v>
      </c>
      <c r="H133" s="2" t="str">
        <f>_xlfn.CONCAT(LOWER(Tabulka1[[#This Row],[příjmení bez mezer]]),".",LOWER(Tabulka1[[#This Row],[Jmeno bez mezer]]),"@firmaabc.cz")</f>
        <v>hlavata.pavlina@firmaabc.cz</v>
      </c>
      <c r="I133" s="2" t="str">
        <f>_xlfn.CONCAT(LOWER(LEFT(Tabulka1[[#This Row],[příjmení bez mezer]],3)),UPPER(RIGHT(Tabulka1[[#This Row],[Jmeno bez mezer]],2)))</f>
        <v>hlaNA</v>
      </c>
      <c r="J133" s="2" t="s">
        <v>1252</v>
      </c>
      <c r="K133" s="2" t="s">
        <v>1741</v>
      </c>
      <c r="L133" s="3" t="s">
        <v>2142</v>
      </c>
    </row>
    <row r="134" spans="1:12" ht="30" x14ac:dyDescent="0.25">
      <c r="A134" s="2" t="s">
        <v>343</v>
      </c>
      <c r="B134" t="s">
        <v>344</v>
      </c>
      <c r="C134" t="s">
        <v>345</v>
      </c>
      <c r="D134" t="str">
        <f>TRIM(Tabulka1[[#This Row],[Jméno]])</f>
        <v>Bohumil</v>
      </c>
      <c r="E134" t="str">
        <f>TRIM(Tabulka1[[#This Row],[Příjmení]])</f>
        <v>Sopik</v>
      </c>
      <c r="F134" s="2" t="str">
        <f>MID(Tabulka1[[#This Row],[Adresa]],1,SEARCH(",",Tabulka1[[#This Row],[Adresa]])-1)</f>
        <v>Čechova 533</v>
      </c>
      <c r="G134" s="2" t="str">
        <f>RIGHT(Tabulka1[[#This Row],[Adresa]],LEN(Tabulka1[[#This Row],[Adresa]])-LEN(Tabulka1[[#This Row],[Ulice]])-1)</f>
        <v>Miretice u Hlinska</v>
      </c>
      <c r="H134" s="2" t="str">
        <f>_xlfn.CONCAT(LOWER(Tabulka1[[#This Row],[příjmení bez mezer]]),".",LOWER(Tabulka1[[#This Row],[Jmeno bez mezer]]),"@firmaabc.cz")</f>
        <v>sopik.bohumil@firmaabc.cz</v>
      </c>
      <c r="I134" s="2" t="str">
        <f>_xlfn.CONCAT(LOWER(LEFT(Tabulka1[[#This Row],[příjmení bez mezer]],3)),UPPER(RIGHT(Tabulka1[[#This Row],[Jmeno bez mezer]],2)))</f>
        <v>sopIL</v>
      </c>
      <c r="J134" s="2" t="s">
        <v>1253</v>
      </c>
      <c r="K134" s="2" t="s">
        <v>1742</v>
      </c>
      <c r="L134" s="3" t="s">
        <v>2143</v>
      </c>
    </row>
    <row r="135" spans="1:12" ht="30" x14ac:dyDescent="0.25">
      <c r="A135" s="2" t="s">
        <v>346</v>
      </c>
      <c r="B135" t="s">
        <v>24</v>
      </c>
      <c r="C135" t="s">
        <v>347</v>
      </c>
      <c r="D135" t="str">
        <f>TRIM(Tabulka1[[#This Row],[Jméno]])</f>
        <v>Jan</v>
      </c>
      <c r="E135" t="str">
        <f>TRIM(Tabulka1[[#This Row],[Příjmení]])</f>
        <v>Jaros</v>
      </c>
      <c r="F135" s="2" t="str">
        <f>MID(Tabulka1[[#This Row],[Adresa]],1,SEARCH(",",Tabulka1[[#This Row],[Adresa]])-1)</f>
        <v>Erbenova 376</v>
      </c>
      <c r="G135" s="2" t="str">
        <f>RIGHT(Tabulka1[[#This Row],[Adresa]],LEN(Tabulka1[[#This Row],[Adresa]])-LEN(Tabulka1[[#This Row],[Ulice]])-1)</f>
        <v>Opocno</v>
      </c>
      <c r="H135" s="2" t="str">
        <f>_xlfn.CONCAT(LOWER(Tabulka1[[#This Row],[příjmení bez mezer]]),".",LOWER(Tabulka1[[#This Row],[Jmeno bez mezer]]),"@firmaabc.cz")</f>
        <v>jaros.jan@firmaabc.cz</v>
      </c>
      <c r="I135" s="2" t="str">
        <f>_xlfn.CONCAT(LOWER(LEFT(Tabulka1[[#This Row],[příjmení bez mezer]],3)),UPPER(RIGHT(Tabulka1[[#This Row],[Jmeno bez mezer]],2)))</f>
        <v>jarAN</v>
      </c>
      <c r="J135" s="2" t="s">
        <v>1254</v>
      </c>
      <c r="K135" s="2" t="s">
        <v>1743</v>
      </c>
      <c r="L135" s="3" t="s">
        <v>2144</v>
      </c>
    </row>
    <row r="136" spans="1:12" ht="30" x14ac:dyDescent="0.25">
      <c r="A136" s="2" t="s">
        <v>348</v>
      </c>
      <c r="B136" t="s">
        <v>287</v>
      </c>
      <c r="C136" t="s">
        <v>349</v>
      </c>
      <c r="D136" t="str">
        <f>TRIM(Tabulka1[[#This Row],[Jméno]])</f>
        <v>Petr</v>
      </c>
      <c r="E136" t="str">
        <f>TRIM(Tabulka1[[#This Row],[Příjmení]])</f>
        <v>Petrik</v>
      </c>
      <c r="F136" s="2" t="str">
        <f>MID(Tabulka1[[#This Row],[Adresa]],1,SEARCH(",",Tabulka1[[#This Row],[Adresa]])-1)</f>
        <v>Bezručova 1383</v>
      </c>
      <c r="G136" s="2" t="str">
        <f>RIGHT(Tabulka1[[#This Row],[Adresa]],LEN(Tabulka1[[#This Row],[Adresa]])-LEN(Tabulka1[[#This Row],[Ulice]])-1)</f>
        <v>Hanušovice</v>
      </c>
      <c r="H136" s="2" t="str">
        <f>_xlfn.CONCAT(LOWER(Tabulka1[[#This Row],[příjmení bez mezer]]),".",LOWER(Tabulka1[[#This Row],[Jmeno bez mezer]]),"@firmaabc.cz")</f>
        <v>petrik.petr@firmaabc.cz</v>
      </c>
      <c r="I136" s="2" t="str">
        <f>_xlfn.CONCAT(LOWER(LEFT(Tabulka1[[#This Row],[příjmení bez mezer]],3)),UPPER(RIGHT(Tabulka1[[#This Row],[Jmeno bez mezer]],2)))</f>
        <v>petTR</v>
      </c>
      <c r="J136" s="2" t="s">
        <v>1255</v>
      </c>
      <c r="K136" s="2" t="s">
        <v>1744</v>
      </c>
      <c r="L136" s="3" t="s">
        <v>2145</v>
      </c>
    </row>
    <row r="137" spans="1:12" x14ac:dyDescent="0.25">
      <c r="A137" s="2" t="s">
        <v>350</v>
      </c>
      <c r="B137" t="s">
        <v>178</v>
      </c>
      <c r="C137" t="s">
        <v>351</v>
      </c>
      <c r="D137" t="str">
        <f>TRIM(Tabulka1[[#This Row],[Jméno]])</f>
        <v>Jaroslav</v>
      </c>
      <c r="E137" t="str">
        <f>TRIM(Tabulka1[[#This Row],[Příjmení]])</f>
        <v>?Cerny</v>
      </c>
      <c r="F137" s="2" t="str">
        <f>MID(Tabulka1[[#This Row],[Adresa]],1,SEARCH(",",Tabulka1[[#This Row],[Adresa]])-1)</f>
        <v>Luční 1595</v>
      </c>
      <c r="G137" s="2" t="str">
        <f>RIGHT(Tabulka1[[#This Row],[Adresa]],LEN(Tabulka1[[#This Row],[Adresa]])-LEN(Tabulka1[[#This Row],[Ulice]])-1)</f>
        <v>Rovecné</v>
      </c>
      <c r="H137" s="2" t="str">
        <f>_xlfn.CONCAT(LOWER(Tabulka1[[#This Row],[příjmení bez mezer]]),".",LOWER(Tabulka1[[#This Row],[Jmeno bez mezer]]),"@firmaabc.cz")</f>
        <v>?cerny.jaroslav@firmaabc.cz</v>
      </c>
      <c r="I137" s="2" t="str">
        <f>_xlfn.CONCAT(LOWER(LEFT(Tabulka1[[#This Row],[příjmení bez mezer]],3)),UPPER(RIGHT(Tabulka1[[#This Row],[Jmeno bez mezer]],2)))</f>
        <v>?ceAV</v>
      </c>
      <c r="J137" s="2" t="s">
        <v>1256</v>
      </c>
      <c r="K137" s="2" t="s">
        <v>1709</v>
      </c>
      <c r="L137" s="3" t="s">
        <v>2146</v>
      </c>
    </row>
    <row r="138" spans="1:12" ht="30" x14ac:dyDescent="0.25">
      <c r="A138" s="2" t="s">
        <v>352</v>
      </c>
      <c r="B138" t="s">
        <v>88</v>
      </c>
      <c r="C138" t="s">
        <v>353</v>
      </c>
      <c r="D138" t="str">
        <f>TRIM(Tabulka1[[#This Row],[Jméno]])</f>
        <v>Pavel</v>
      </c>
      <c r="E138" t="str">
        <f>TRIM(Tabulka1[[#This Row],[Příjmení]])</f>
        <v>Kubelka</v>
      </c>
      <c r="F138" s="2" t="str">
        <f>MID(Tabulka1[[#This Row],[Adresa]],1,SEARCH(",",Tabulka1[[#This Row],[Adresa]])-1)</f>
        <v>Větrná 1116</v>
      </c>
      <c r="G138" s="2" t="str">
        <f>RIGHT(Tabulka1[[#This Row],[Adresa]],LEN(Tabulka1[[#This Row],[Adresa]])-LEN(Tabulka1[[#This Row],[Ulice]])-1)</f>
        <v>Slavkov u Brna</v>
      </c>
      <c r="H138" s="2" t="str">
        <f>_xlfn.CONCAT(LOWER(Tabulka1[[#This Row],[příjmení bez mezer]]),".",LOWER(Tabulka1[[#This Row],[Jmeno bez mezer]]),"@firmaabc.cz")</f>
        <v>kubelka.pavel@firmaabc.cz</v>
      </c>
      <c r="I138" s="2" t="str">
        <f>_xlfn.CONCAT(LOWER(LEFT(Tabulka1[[#This Row],[příjmení bez mezer]],3)),UPPER(RIGHT(Tabulka1[[#This Row],[Jmeno bez mezer]],2)))</f>
        <v>kubEL</v>
      </c>
      <c r="J138" s="2" t="s">
        <v>1257</v>
      </c>
      <c r="K138" s="2" t="s">
        <v>1745</v>
      </c>
      <c r="L138" s="3" t="s">
        <v>2147</v>
      </c>
    </row>
    <row r="139" spans="1:12" ht="30" x14ac:dyDescent="0.25">
      <c r="A139" s="2" t="s">
        <v>354</v>
      </c>
      <c r="B139" t="s">
        <v>355</v>
      </c>
      <c r="C139" t="s">
        <v>356</v>
      </c>
      <c r="D139" t="str">
        <f>TRIM(Tabulka1[[#This Row],[Jméno]])</f>
        <v>Irina</v>
      </c>
      <c r="E139" t="str">
        <f>TRIM(Tabulka1[[#This Row],[Příjmení]])</f>
        <v>Jirku</v>
      </c>
      <c r="F139" s="2" t="str">
        <f>MID(Tabulka1[[#This Row],[Adresa]],1,SEARCH(",",Tabulka1[[#This Row],[Adresa]])-1)</f>
        <v>Osvobození 357</v>
      </c>
      <c r="G139" s="2" t="str">
        <f>RIGHT(Tabulka1[[#This Row],[Adresa]],LEN(Tabulka1[[#This Row],[Adresa]])-LEN(Tabulka1[[#This Row],[Ulice]])-1)</f>
        <v>Ostrava 28</v>
      </c>
      <c r="H139" s="2" t="str">
        <f>_xlfn.CONCAT(LOWER(Tabulka1[[#This Row],[příjmení bez mezer]]),".",LOWER(Tabulka1[[#This Row],[Jmeno bez mezer]]),"@firmaabc.cz")</f>
        <v>jirku.irina@firmaabc.cz</v>
      </c>
      <c r="I139" s="2" t="str">
        <f>_xlfn.CONCAT(LOWER(LEFT(Tabulka1[[#This Row],[příjmení bez mezer]],3)),UPPER(RIGHT(Tabulka1[[#This Row],[Jmeno bez mezer]],2)))</f>
        <v>jirNA</v>
      </c>
      <c r="J139" s="2" t="s">
        <v>1258</v>
      </c>
      <c r="K139" s="2" t="s">
        <v>1746</v>
      </c>
      <c r="L139" s="3" t="s">
        <v>2148</v>
      </c>
    </row>
    <row r="140" spans="1:12" ht="45" x14ac:dyDescent="0.25">
      <c r="A140" s="2" t="s">
        <v>357</v>
      </c>
      <c r="B140" t="s">
        <v>287</v>
      </c>
      <c r="C140" t="s">
        <v>358</v>
      </c>
      <c r="D140" t="str">
        <f>TRIM(Tabulka1[[#This Row],[Jméno]])</f>
        <v>Petr</v>
      </c>
      <c r="E140" t="str">
        <f>TRIM(Tabulka1[[#This Row],[Příjmení]])</f>
        <v>Straka</v>
      </c>
      <c r="F140" s="2" t="str">
        <f>MID(Tabulka1[[#This Row],[Adresa]],1,SEARCH(",",Tabulka1[[#This Row],[Adresa]])-1)</f>
        <v>Nerudova 484</v>
      </c>
      <c r="G140" s="2" t="str">
        <f>RIGHT(Tabulka1[[#This Row],[Adresa]],LEN(Tabulka1[[#This Row],[Adresa]])-LEN(Tabulka1[[#This Row],[Ulice]])-1)</f>
        <v>Ceské Budejovice 6</v>
      </c>
      <c r="H140" s="2" t="str">
        <f>_xlfn.CONCAT(LOWER(Tabulka1[[#This Row],[příjmení bez mezer]]),".",LOWER(Tabulka1[[#This Row],[Jmeno bez mezer]]),"@firmaabc.cz")</f>
        <v>straka.petr@firmaabc.cz</v>
      </c>
      <c r="I140" s="2" t="str">
        <f>_xlfn.CONCAT(LOWER(LEFT(Tabulka1[[#This Row],[příjmení bez mezer]],3)),UPPER(RIGHT(Tabulka1[[#This Row],[Jmeno bez mezer]],2)))</f>
        <v>strTR</v>
      </c>
      <c r="J140" s="2" t="s">
        <v>1259</v>
      </c>
      <c r="K140" s="2" t="s">
        <v>1747</v>
      </c>
      <c r="L140" s="3" t="s">
        <v>2149</v>
      </c>
    </row>
    <row r="141" spans="1:12" ht="30" x14ac:dyDescent="0.25">
      <c r="A141" s="2" t="s">
        <v>359</v>
      </c>
      <c r="B141" t="s">
        <v>360</v>
      </c>
      <c r="C141" t="s">
        <v>141</v>
      </c>
      <c r="D141" t="str">
        <f>TRIM(Tabulka1[[#This Row],[Jméno]])</f>
        <v>Daria</v>
      </c>
      <c r="E141" t="str">
        <f>TRIM(Tabulka1[[#This Row],[Příjmení]])</f>
        <v>Kubatova</v>
      </c>
      <c r="F141" s="2" t="str">
        <f>MID(Tabulka1[[#This Row],[Adresa]],1,SEARCH(",",Tabulka1[[#This Row],[Adresa]])-1)</f>
        <v>Hřbitovní 1424</v>
      </c>
      <c r="G141" s="2" t="str">
        <f>RIGHT(Tabulka1[[#This Row],[Adresa]],LEN(Tabulka1[[#This Row],[Adresa]])-LEN(Tabulka1[[#This Row],[Ulice]])-1)</f>
        <v>Štítná nad Vlárí</v>
      </c>
      <c r="H141" s="2" t="str">
        <f>_xlfn.CONCAT(LOWER(Tabulka1[[#This Row],[příjmení bez mezer]]),".",LOWER(Tabulka1[[#This Row],[Jmeno bez mezer]]),"@firmaabc.cz")</f>
        <v>kubatova.daria@firmaabc.cz</v>
      </c>
      <c r="I141" s="2" t="str">
        <f>_xlfn.CONCAT(LOWER(LEFT(Tabulka1[[#This Row],[příjmení bez mezer]],3)),UPPER(RIGHT(Tabulka1[[#This Row],[Jmeno bez mezer]],2)))</f>
        <v>kubIA</v>
      </c>
      <c r="J141" s="2" t="s">
        <v>1260</v>
      </c>
      <c r="K141" s="2" t="s">
        <v>1748</v>
      </c>
      <c r="L141" s="3" t="s">
        <v>2150</v>
      </c>
    </row>
    <row r="142" spans="1:12" ht="30" x14ac:dyDescent="0.25">
      <c r="A142" s="2" t="s">
        <v>361</v>
      </c>
      <c r="B142" t="s">
        <v>362</v>
      </c>
      <c r="C142" t="s">
        <v>363</v>
      </c>
      <c r="D142" t="str">
        <f>TRIM(Tabulka1[[#This Row],[Jméno]])</f>
        <v>Danuse</v>
      </c>
      <c r="E142" t="str">
        <f>TRIM(Tabulka1[[#This Row],[Příjmení]])</f>
        <v>Hajkova</v>
      </c>
      <c r="F142" s="2" t="str">
        <f>MID(Tabulka1[[#This Row],[Adresa]],1,SEARCH(",",Tabulka1[[#This Row],[Adresa]])-1)</f>
        <v>Jiráskova 1566</v>
      </c>
      <c r="G142" s="2" t="str">
        <f>RIGHT(Tabulka1[[#This Row],[Adresa]],LEN(Tabulka1[[#This Row],[Adresa]])-LEN(Tabulka1[[#This Row],[Ulice]])-1)</f>
        <v>Slatinany</v>
      </c>
      <c r="H142" s="2" t="str">
        <f>_xlfn.CONCAT(LOWER(Tabulka1[[#This Row],[příjmení bez mezer]]),".",LOWER(Tabulka1[[#This Row],[Jmeno bez mezer]]),"@firmaabc.cz")</f>
        <v>hajkova.danuse@firmaabc.cz</v>
      </c>
      <c r="I142" s="2" t="str">
        <f>_xlfn.CONCAT(LOWER(LEFT(Tabulka1[[#This Row],[příjmení bez mezer]],3)),UPPER(RIGHT(Tabulka1[[#This Row],[Jmeno bez mezer]],2)))</f>
        <v>hajSE</v>
      </c>
      <c r="J142" s="2" t="s">
        <v>1261</v>
      </c>
      <c r="K142" s="2" t="s">
        <v>1749</v>
      </c>
      <c r="L142" s="3" t="s">
        <v>2151</v>
      </c>
    </row>
    <row r="143" spans="1:12" ht="45" x14ac:dyDescent="0.25">
      <c r="A143" s="2" t="s">
        <v>364</v>
      </c>
      <c r="B143" t="s">
        <v>253</v>
      </c>
      <c r="C143" t="s">
        <v>365</v>
      </c>
      <c r="D143" t="str">
        <f>TRIM(Tabulka1[[#This Row],[Jméno]])</f>
        <v>Eva</v>
      </c>
      <c r="E143" t="str">
        <f>TRIM(Tabulka1[[#This Row],[Příjmení]])</f>
        <v>Sucha</v>
      </c>
      <c r="F143" s="2" t="str">
        <f>MID(Tabulka1[[#This Row],[Adresa]],1,SEARCH(",",Tabulka1[[#This Row],[Adresa]])-1)</f>
        <v>Nerudova 659</v>
      </c>
      <c r="G143" s="2" t="str">
        <f>RIGHT(Tabulka1[[#This Row],[Adresa]],LEN(Tabulka1[[#This Row],[Adresa]])-LEN(Tabulka1[[#This Row],[Ulice]])-1)</f>
        <v>Ceské Budejovice 7</v>
      </c>
      <c r="H143" s="2" t="str">
        <f>_xlfn.CONCAT(LOWER(Tabulka1[[#This Row],[příjmení bez mezer]]),".",LOWER(Tabulka1[[#This Row],[Jmeno bez mezer]]),"@firmaabc.cz")</f>
        <v>sucha.eva@firmaabc.cz</v>
      </c>
      <c r="I143" s="2" t="str">
        <f>_xlfn.CONCAT(LOWER(LEFT(Tabulka1[[#This Row],[příjmení bez mezer]],3)),UPPER(RIGHT(Tabulka1[[#This Row],[Jmeno bez mezer]],2)))</f>
        <v>sucVA</v>
      </c>
      <c r="J143" s="2" t="s">
        <v>1262</v>
      </c>
      <c r="K143" s="2" t="s">
        <v>1750</v>
      </c>
      <c r="L143" s="3" t="s">
        <v>2152</v>
      </c>
    </row>
    <row r="144" spans="1:12" ht="30" x14ac:dyDescent="0.25">
      <c r="A144" s="2" t="s">
        <v>366</v>
      </c>
      <c r="B144" t="s">
        <v>367</v>
      </c>
      <c r="C144" t="s">
        <v>368</v>
      </c>
      <c r="D144" t="str">
        <f>TRIM(Tabulka1[[#This Row],[Jméno]])</f>
        <v>Gertruda</v>
      </c>
      <c r="E144" t="str">
        <f>TRIM(Tabulka1[[#This Row],[Příjmení]])</f>
        <v>Lukesova</v>
      </c>
      <c r="F144" s="2" t="str">
        <f>MID(Tabulka1[[#This Row],[Adresa]],1,SEARCH(",",Tabulka1[[#This Row],[Adresa]])-1)</f>
        <v>Masarykova 1998</v>
      </c>
      <c r="G144" s="2" t="str">
        <f>RIGHT(Tabulka1[[#This Row],[Adresa]],LEN(Tabulka1[[#This Row],[Adresa]])-LEN(Tabulka1[[#This Row],[Ulice]])-1)</f>
        <v>Zábreh</v>
      </c>
      <c r="H144" s="2" t="str">
        <f>_xlfn.CONCAT(LOWER(Tabulka1[[#This Row],[příjmení bez mezer]]),".",LOWER(Tabulka1[[#This Row],[Jmeno bez mezer]]),"@firmaabc.cz")</f>
        <v>lukesova.gertruda@firmaabc.cz</v>
      </c>
      <c r="I144" s="2" t="str">
        <f>_xlfn.CONCAT(LOWER(LEFT(Tabulka1[[#This Row],[příjmení bez mezer]],3)),UPPER(RIGHT(Tabulka1[[#This Row],[Jmeno bez mezer]],2)))</f>
        <v>lukDA</v>
      </c>
      <c r="J144" s="2" t="s">
        <v>1263</v>
      </c>
      <c r="K144" s="2" t="s">
        <v>1725</v>
      </c>
      <c r="L144" s="3" t="s">
        <v>2153</v>
      </c>
    </row>
    <row r="145" spans="1:12" ht="30" x14ac:dyDescent="0.25">
      <c r="A145" s="2" t="s">
        <v>369</v>
      </c>
      <c r="B145" t="s">
        <v>82</v>
      </c>
      <c r="C145" t="s">
        <v>370</v>
      </c>
      <c r="D145" t="str">
        <f>TRIM(Tabulka1[[#This Row],[Jméno]])</f>
        <v>Katerina</v>
      </c>
      <c r="E145" t="str">
        <f>TRIM(Tabulka1[[#This Row],[Příjmení]])</f>
        <v>Tvrda</v>
      </c>
      <c r="F145" s="2" t="str">
        <f>MID(Tabulka1[[#This Row],[Adresa]],1,SEARCH(",",Tabulka1[[#This Row],[Adresa]])-1)</f>
        <v>Lomená 1597</v>
      </c>
      <c r="G145" s="2" t="str">
        <f>RIGHT(Tabulka1[[#This Row],[Adresa]],LEN(Tabulka1[[#This Row],[Adresa]])-LEN(Tabulka1[[#This Row],[Ulice]])-1)</f>
        <v>Tavíkovice</v>
      </c>
      <c r="H145" s="2" t="str">
        <f>_xlfn.CONCAT(LOWER(Tabulka1[[#This Row],[příjmení bez mezer]]),".",LOWER(Tabulka1[[#This Row],[Jmeno bez mezer]]),"@firmaabc.cz")</f>
        <v>tvrda.katerina@firmaabc.cz</v>
      </c>
      <c r="I145" s="2" t="str">
        <f>_xlfn.CONCAT(LOWER(LEFT(Tabulka1[[#This Row],[příjmení bez mezer]],3)),UPPER(RIGHT(Tabulka1[[#This Row],[Jmeno bez mezer]],2)))</f>
        <v>tvrNA</v>
      </c>
      <c r="J145" s="2" t="s">
        <v>1264</v>
      </c>
      <c r="K145" s="2" t="s">
        <v>1751</v>
      </c>
      <c r="L145" s="3" t="s">
        <v>2154</v>
      </c>
    </row>
    <row r="146" spans="1:12" x14ac:dyDescent="0.25">
      <c r="A146" s="2" t="s">
        <v>371</v>
      </c>
      <c r="B146" t="s">
        <v>248</v>
      </c>
      <c r="C146" t="s">
        <v>372</v>
      </c>
      <c r="D146" t="str">
        <f>TRIM(Tabulka1[[#This Row],[Jméno]])</f>
        <v>Miloslav</v>
      </c>
      <c r="E146" t="str">
        <f>TRIM(Tabulka1[[#This Row],[Příjmení]])</f>
        <v>Jarkovsky</v>
      </c>
      <c r="F146" s="2" t="str">
        <f>MID(Tabulka1[[#This Row],[Adresa]],1,SEARCH(",",Tabulka1[[#This Row],[Adresa]])-1)</f>
        <v>Příční 275</v>
      </c>
      <c r="G146" s="2" t="str">
        <f>RIGHT(Tabulka1[[#This Row],[Adresa]],LEN(Tabulka1[[#This Row],[Adresa]])-LEN(Tabulka1[[#This Row],[Ulice]])-1)</f>
        <v>Choryne</v>
      </c>
      <c r="H146" s="2" t="str">
        <f>_xlfn.CONCAT(LOWER(Tabulka1[[#This Row],[příjmení bez mezer]]),".",LOWER(Tabulka1[[#This Row],[Jmeno bez mezer]]),"@firmaabc.cz")</f>
        <v>jarkovsky.miloslav@firmaabc.cz</v>
      </c>
      <c r="I146" s="2" t="str">
        <f>_xlfn.CONCAT(LOWER(LEFT(Tabulka1[[#This Row],[příjmení bez mezer]],3)),UPPER(RIGHT(Tabulka1[[#This Row],[Jmeno bez mezer]],2)))</f>
        <v>jarAV</v>
      </c>
      <c r="J146" s="2" t="s">
        <v>1265</v>
      </c>
      <c r="K146" s="2" t="s">
        <v>1752</v>
      </c>
      <c r="L146" s="3" t="s">
        <v>2155</v>
      </c>
    </row>
    <row r="147" spans="1:12" ht="45" x14ac:dyDescent="0.25">
      <c r="A147" s="2" t="s">
        <v>373</v>
      </c>
      <c r="B147" t="s">
        <v>170</v>
      </c>
      <c r="C147" t="s">
        <v>200</v>
      </c>
      <c r="D147" t="str">
        <f>TRIM(Tabulka1[[#This Row],[Jméno]])</f>
        <v>David</v>
      </c>
      <c r="E147" t="str">
        <f>TRIM(Tabulka1[[#This Row],[Příjmení]])</f>
        <v>?Novak</v>
      </c>
      <c r="F147" s="2" t="str">
        <f>MID(Tabulka1[[#This Row],[Adresa]],1,SEARCH(",",Tabulka1[[#This Row],[Adresa]])-1)</f>
        <v>Jana Nerudy 1465</v>
      </c>
      <c r="G147" s="2" t="str">
        <f>RIGHT(Tabulka1[[#This Row],[Adresa]],LEN(Tabulka1[[#This Row],[Adresa]])-LEN(Tabulka1[[#This Row],[Ulice]])-1)</f>
        <v>Turnov 1</v>
      </c>
      <c r="H147" s="2" t="str">
        <f>_xlfn.CONCAT(LOWER(Tabulka1[[#This Row],[příjmení bez mezer]]),".",LOWER(Tabulka1[[#This Row],[Jmeno bez mezer]]),"@firmaabc.cz")</f>
        <v>?novak.david@firmaabc.cz</v>
      </c>
      <c r="I147" s="2" t="str">
        <f>_xlfn.CONCAT(LOWER(LEFT(Tabulka1[[#This Row],[příjmení bez mezer]],3)),UPPER(RIGHT(Tabulka1[[#This Row],[Jmeno bez mezer]],2)))</f>
        <v>?noID</v>
      </c>
      <c r="J147" s="2" t="s">
        <v>1266</v>
      </c>
      <c r="K147" s="2" t="s">
        <v>1753</v>
      </c>
      <c r="L147" s="3" t="s">
        <v>2156</v>
      </c>
    </row>
    <row r="148" spans="1:12" x14ac:dyDescent="0.25">
      <c r="A148" s="2" t="s">
        <v>374</v>
      </c>
      <c r="B148" t="s">
        <v>135</v>
      </c>
      <c r="C148" t="s">
        <v>375</v>
      </c>
      <c r="D148" t="str">
        <f>TRIM(Tabulka1[[#This Row],[Jméno]])</f>
        <v>Ondrej</v>
      </c>
      <c r="E148" t="str">
        <f>TRIM(Tabulka1[[#This Row],[Příjmení]])</f>
        <v>Rozek</v>
      </c>
      <c r="F148" s="2" t="str">
        <f>MID(Tabulka1[[#This Row],[Adresa]],1,SEARCH(",",Tabulka1[[#This Row],[Adresa]])-1)</f>
        <v>Jičín 1813</v>
      </c>
      <c r="G148" s="2" t="str">
        <f>RIGHT(Tabulka1[[#This Row],[Adresa]],LEN(Tabulka1[[#This Row],[Adresa]])-LEN(Tabulka1[[#This Row],[Ulice]])-1)</f>
        <v>Jicín 1</v>
      </c>
      <c r="H148" s="2" t="str">
        <f>_xlfn.CONCAT(LOWER(Tabulka1[[#This Row],[příjmení bez mezer]]),".",LOWER(Tabulka1[[#This Row],[Jmeno bez mezer]]),"@firmaabc.cz")</f>
        <v>rozek.ondrej@firmaabc.cz</v>
      </c>
      <c r="I148" s="2" t="str">
        <f>_xlfn.CONCAT(LOWER(LEFT(Tabulka1[[#This Row],[příjmení bez mezer]],3)),UPPER(RIGHT(Tabulka1[[#This Row],[Jmeno bez mezer]],2)))</f>
        <v>rozEJ</v>
      </c>
      <c r="J148" s="2" t="s">
        <v>1267</v>
      </c>
      <c r="K148" s="2" t="s">
        <v>1754</v>
      </c>
      <c r="L148" s="3" t="s">
        <v>2157</v>
      </c>
    </row>
    <row r="149" spans="1:12" ht="30" x14ac:dyDescent="0.25">
      <c r="A149" s="2" t="s">
        <v>376</v>
      </c>
      <c r="B149" t="s">
        <v>338</v>
      </c>
      <c r="C149" t="s">
        <v>377</v>
      </c>
      <c r="D149" t="str">
        <f>TRIM(Tabulka1[[#This Row],[Jméno]])</f>
        <v>Lubos</v>
      </c>
      <c r="E149" t="str">
        <f>TRIM(Tabulka1[[#This Row],[Příjmení]])</f>
        <v>Vacek</v>
      </c>
      <c r="F149" s="2" t="str">
        <f>MID(Tabulka1[[#This Row],[Adresa]],1,SEARCH(",",Tabulka1[[#This Row],[Adresa]])-1)</f>
        <v>Bedřicha Smetany 90</v>
      </c>
      <c r="G149" s="2" t="str">
        <f>RIGHT(Tabulka1[[#This Row],[Adresa]],LEN(Tabulka1[[#This Row],[Adresa]])-LEN(Tabulka1[[#This Row],[Ulice]])-1)</f>
        <v>Zlechov</v>
      </c>
      <c r="H149" s="2" t="str">
        <f>_xlfn.CONCAT(LOWER(Tabulka1[[#This Row],[příjmení bez mezer]]),".",LOWER(Tabulka1[[#This Row],[Jmeno bez mezer]]),"@firmaabc.cz")</f>
        <v>vacek.lubos@firmaabc.cz</v>
      </c>
      <c r="I149" s="2" t="str">
        <f>_xlfn.CONCAT(LOWER(LEFT(Tabulka1[[#This Row],[příjmení bez mezer]],3)),UPPER(RIGHT(Tabulka1[[#This Row],[Jmeno bez mezer]],2)))</f>
        <v>vacOS</v>
      </c>
      <c r="J149" s="2" t="s">
        <v>1268</v>
      </c>
      <c r="K149" s="2" t="s">
        <v>1755</v>
      </c>
      <c r="L149" s="3" t="s">
        <v>2158</v>
      </c>
    </row>
    <row r="150" spans="1:12" ht="30" x14ac:dyDescent="0.25">
      <c r="A150" s="2" t="s">
        <v>378</v>
      </c>
      <c r="B150" t="s">
        <v>24</v>
      </c>
      <c r="C150" t="s">
        <v>379</v>
      </c>
      <c r="D150" t="str">
        <f>TRIM(Tabulka1[[#This Row],[Jméno]])</f>
        <v>Jan</v>
      </c>
      <c r="E150" t="str">
        <f>TRIM(Tabulka1[[#This Row],[Příjmení]])</f>
        <v>Vychodil</v>
      </c>
      <c r="F150" s="2" t="str">
        <f>MID(Tabulka1[[#This Row],[Adresa]],1,SEARCH(",",Tabulka1[[#This Row],[Adresa]])-1)</f>
        <v>Budovatelská 698</v>
      </c>
      <c r="G150" s="2" t="str">
        <f>RIGHT(Tabulka1[[#This Row],[Adresa]],LEN(Tabulka1[[#This Row],[Adresa]])-LEN(Tabulka1[[#This Row],[Ulice]])-1)</f>
        <v>Blatná</v>
      </c>
      <c r="H150" s="2" t="str">
        <f>_xlfn.CONCAT(LOWER(Tabulka1[[#This Row],[příjmení bez mezer]]),".",LOWER(Tabulka1[[#This Row],[Jmeno bez mezer]]),"@firmaabc.cz")</f>
        <v>vychodil.jan@firmaabc.cz</v>
      </c>
      <c r="I150" s="2" t="str">
        <f>_xlfn.CONCAT(LOWER(LEFT(Tabulka1[[#This Row],[příjmení bez mezer]],3)),UPPER(RIGHT(Tabulka1[[#This Row],[Jmeno bez mezer]],2)))</f>
        <v>vycAN</v>
      </c>
      <c r="J150" s="2" t="s">
        <v>1269</v>
      </c>
      <c r="K150" s="2" t="s">
        <v>1756</v>
      </c>
      <c r="L150" s="3" t="s">
        <v>2159</v>
      </c>
    </row>
    <row r="151" spans="1:12" ht="30" x14ac:dyDescent="0.25">
      <c r="A151" s="2" t="s">
        <v>380</v>
      </c>
      <c r="B151" t="s">
        <v>113</v>
      </c>
      <c r="C151" t="s">
        <v>381</v>
      </c>
      <c r="D151" t="str">
        <f>TRIM(Tabulka1[[#This Row],[Jméno]])</f>
        <v>Jiri</v>
      </c>
      <c r="E151" t="str">
        <f>TRIM(Tabulka1[[#This Row],[Příjmení]])</f>
        <v>Strejcek</v>
      </c>
      <c r="F151" s="2" t="str">
        <f>MID(Tabulka1[[#This Row],[Adresa]],1,SEARCH(",",Tabulka1[[#This Row],[Adresa]])-1)</f>
        <v>Kovářská 240</v>
      </c>
      <c r="G151" s="2" t="str">
        <f>RIGHT(Tabulka1[[#This Row],[Adresa]],LEN(Tabulka1[[#This Row],[Adresa]])-LEN(Tabulka1[[#This Row],[Ulice]])-1)</f>
        <v>Telnice</v>
      </c>
      <c r="H151" s="2" t="str">
        <f>_xlfn.CONCAT(LOWER(Tabulka1[[#This Row],[příjmení bez mezer]]),".",LOWER(Tabulka1[[#This Row],[Jmeno bez mezer]]),"@firmaabc.cz")</f>
        <v>strejcek.jiri@firmaabc.cz</v>
      </c>
      <c r="I151" s="2" t="str">
        <f>_xlfn.CONCAT(LOWER(LEFT(Tabulka1[[#This Row],[příjmení bez mezer]],3)),UPPER(RIGHT(Tabulka1[[#This Row],[Jmeno bez mezer]],2)))</f>
        <v>strRI</v>
      </c>
      <c r="J151" s="2" t="s">
        <v>1270</v>
      </c>
      <c r="K151" s="2" t="s">
        <v>1757</v>
      </c>
      <c r="L151" s="3" t="s">
        <v>2160</v>
      </c>
    </row>
    <row r="152" spans="1:12" ht="60" x14ac:dyDescent="0.25">
      <c r="A152" s="2" t="s">
        <v>382</v>
      </c>
      <c r="B152" t="s">
        <v>15</v>
      </c>
      <c r="C152" t="s">
        <v>383</v>
      </c>
      <c r="D152" t="str">
        <f>TRIM(Tabulka1[[#This Row],[Jméno]])</f>
        <v>Vladimir</v>
      </c>
      <c r="E152" t="str">
        <f>TRIM(Tabulka1[[#This Row],[Příjmení]])</f>
        <v>Levy</v>
      </c>
      <c r="F152" s="2" t="str">
        <f>MID(Tabulka1[[#This Row],[Adresa]],1,SEARCH(",",Tabulka1[[#This Row],[Adresa]])-1)</f>
        <v>Strojírenská 1213</v>
      </c>
      <c r="G152" s="2" t="str">
        <f>RIGHT(Tabulka1[[#This Row],[Adresa]],LEN(Tabulka1[[#This Row],[Adresa]])-LEN(Tabulka1[[#This Row],[Ulice]])-1)</f>
        <v>Fryšava pod Žákovou horou</v>
      </c>
      <c r="H152" s="2" t="str">
        <f>_xlfn.CONCAT(LOWER(Tabulka1[[#This Row],[příjmení bez mezer]]),".",LOWER(Tabulka1[[#This Row],[Jmeno bez mezer]]),"@firmaabc.cz")</f>
        <v>levy.vladimir@firmaabc.cz</v>
      </c>
      <c r="I152" s="2" t="str">
        <f>_xlfn.CONCAT(LOWER(LEFT(Tabulka1[[#This Row],[příjmení bez mezer]],3)),UPPER(RIGHT(Tabulka1[[#This Row],[Jmeno bez mezer]],2)))</f>
        <v>levIR</v>
      </c>
      <c r="J152" s="2" t="s">
        <v>1271</v>
      </c>
      <c r="K152" s="2" t="s">
        <v>1758</v>
      </c>
      <c r="L152" s="3" t="s">
        <v>2161</v>
      </c>
    </row>
    <row r="153" spans="1:12" x14ac:dyDescent="0.25">
      <c r="A153" s="2" t="s">
        <v>384</v>
      </c>
      <c r="B153" t="s">
        <v>15</v>
      </c>
      <c r="C153" t="s">
        <v>385</v>
      </c>
      <c r="D153" t="str">
        <f>TRIM(Tabulka1[[#This Row],[Jméno]])</f>
        <v>Vladimir</v>
      </c>
      <c r="E153" t="str">
        <f>TRIM(Tabulka1[[#This Row],[Příjmení]])</f>
        <v>Tomecek</v>
      </c>
      <c r="F153" s="2" t="str">
        <f>MID(Tabulka1[[#This Row],[Adresa]],1,SEARCH(",",Tabulka1[[#This Row],[Adresa]])-1)</f>
        <v>Louny 590</v>
      </c>
      <c r="G153" s="2" t="str">
        <f>RIGHT(Tabulka1[[#This Row],[Adresa]],LEN(Tabulka1[[#This Row],[Adresa]])-LEN(Tabulka1[[#This Row],[Ulice]])-1)</f>
        <v>Louny 1</v>
      </c>
      <c r="H153" s="2" t="str">
        <f>_xlfn.CONCAT(LOWER(Tabulka1[[#This Row],[příjmení bez mezer]]),".",LOWER(Tabulka1[[#This Row],[Jmeno bez mezer]]),"@firmaabc.cz")</f>
        <v>tomecek.vladimir@firmaabc.cz</v>
      </c>
      <c r="I153" s="2" t="str">
        <f>_xlfn.CONCAT(LOWER(LEFT(Tabulka1[[#This Row],[příjmení bez mezer]],3)),UPPER(RIGHT(Tabulka1[[#This Row],[Jmeno bez mezer]],2)))</f>
        <v>tomIR</v>
      </c>
      <c r="J153" s="2" t="s">
        <v>1272</v>
      </c>
      <c r="K153" s="2" t="s">
        <v>1627</v>
      </c>
      <c r="L153" s="3" t="s">
        <v>2162</v>
      </c>
    </row>
    <row r="154" spans="1:12" x14ac:dyDescent="0.25">
      <c r="A154" s="2" t="s">
        <v>386</v>
      </c>
      <c r="B154" t="s">
        <v>82</v>
      </c>
      <c r="C154" t="s">
        <v>387</v>
      </c>
      <c r="D154" t="str">
        <f>TRIM(Tabulka1[[#This Row],[Jméno]])</f>
        <v>Katerina</v>
      </c>
      <c r="E154" t="str">
        <f>TRIM(Tabulka1[[#This Row],[Příjmení]])</f>
        <v>Vaneckova</v>
      </c>
      <c r="F154" s="2" t="str">
        <f>MID(Tabulka1[[#This Row],[Adresa]],1,SEARCH(",",Tabulka1[[#This Row],[Adresa]])-1)</f>
        <v>Mírová 873</v>
      </c>
      <c r="G154" s="2" t="str">
        <f>RIGHT(Tabulka1[[#This Row],[Adresa]],LEN(Tabulka1[[#This Row],[Adresa]])-LEN(Tabulka1[[#This Row],[Ulice]])-1)</f>
        <v>Bobrová</v>
      </c>
      <c r="H154" s="2" t="str">
        <f>_xlfn.CONCAT(LOWER(Tabulka1[[#This Row],[příjmení bez mezer]]),".",LOWER(Tabulka1[[#This Row],[Jmeno bez mezer]]),"@firmaabc.cz")</f>
        <v>vaneckova.katerina@firmaabc.cz</v>
      </c>
      <c r="I154" s="2" t="str">
        <f>_xlfn.CONCAT(LOWER(LEFT(Tabulka1[[#This Row],[příjmení bez mezer]],3)),UPPER(RIGHT(Tabulka1[[#This Row],[Jmeno bez mezer]],2)))</f>
        <v>vanNA</v>
      </c>
      <c r="J154" s="2" t="s">
        <v>1273</v>
      </c>
      <c r="K154" s="2" t="s">
        <v>1759</v>
      </c>
      <c r="L154" s="3" t="s">
        <v>2163</v>
      </c>
    </row>
    <row r="155" spans="1:12" ht="45" x14ac:dyDescent="0.25">
      <c r="A155" s="2" t="s">
        <v>388</v>
      </c>
      <c r="B155" t="s">
        <v>268</v>
      </c>
      <c r="C155" t="s">
        <v>389</v>
      </c>
      <c r="D155" t="str">
        <f>TRIM(Tabulka1[[#This Row],[Jméno]])</f>
        <v>Anna</v>
      </c>
      <c r="E155" t="str">
        <f>TRIM(Tabulka1[[#This Row],[Příjmení]])</f>
        <v>Landova</v>
      </c>
      <c r="F155" s="2" t="str">
        <f>MID(Tabulka1[[#This Row],[Adresa]],1,SEARCH(",",Tabulka1[[#This Row],[Adresa]])-1)</f>
        <v>Štefanikova 1500</v>
      </c>
      <c r="G155" s="2" t="str">
        <f>RIGHT(Tabulka1[[#This Row],[Adresa]],LEN(Tabulka1[[#This Row],[Adresa]])-LEN(Tabulka1[[#This Row],[Ulice]])-1)</f>
        <v>Olešnice na Morave</v>
      </c>
      <c r="H155" s="2" t="str">
        <f>_xlfn.CONCAT(LOWER(Tabulka1[[#This Row],[příjmení bez mezer]]),".",LOWER(Tabulka1[[#This Row],[Jmeno bez mezer]]),"@firmaabc.cz")</f>
        <v>landova.anna@firmaabc.cz</v>
      </c>
      <c r="I155" s="2" t="str">
        <f>_xlfn.CONCAT(LOWER(LEFT(Tabulka1[[#This Row],[příjmení bez mezer]],3)),UPPER(RIGHT(Tabulka1[[#This Row],[Jmeno bez mezer]],2)))</f>
        <v>lanNA</v>
      </c>
      <c r="J155" s="2" t="s">
        <v>1274</v>
      </c>
      <c r="K155" s="2" t="s">
        <v>1760</v>
      </c>
      <c r="L155" s="3" t="s">
        <v>2164</v>
      </c>
    </row>
    <row r="156" spans="1:12" ht="30" x14ac:dyDescent="0.25">
      <c r="A156" s="2" t="s">
        <v>390</v>
      </c>
      <c r="B156" t="s">
        <v>110</v>
      </c>
      <c r="C156" t="s">
        <v>391</v>
      </c>
      <c r="D156" t="str">
        <f>TRIM(Tabulka1[[#This Row],[Jméno]])</f>
        <v>Oldrich</v>
      </c>
      <c r="E156" t="str">
        <f>TRIM(Tabulka1[[#This Row],[Příjmení]])</f>
        <v>Canda</v>
      </c>
      <c r="F156" s="2" t="str">
        <f>MID(Tabulka1[[#This Row],[Adresa]],1,SEARCH(",",Tabulka1[[#This Row],[Adresa]])-1)</f>
        <v>Kovářská 1630</v>
      </c>
      <c r="G156" s="2" t="str">
        <f>RIGHT(Tabulka1[[#This Row],[Adresa]],LEN(Tabulka1[[#This Row],[Adresa]])-LEN(Tabulka1[[#This Row],[Ulice]])-1)</f>
        <v>Decín 5</v>
      </c>
      <c r="H156" s="2" t="str">
        <f>_xlfn.CONCAT(LOWER(Tabulka1[[#This Row],[příjmení bez mezer]]),".",LOWER(Tabulka1[[#This Row],[Jmeno bez mezer]]),"@firmaabc.cz")</f>
        <v>canda.oldrich@firmaabc.cz</v>
      </c>
      <c r="I156" s="2" t="str">
        <f>_xlfn.CONCAT(LOWER(LEFT(Tabulka1[[#This Row],[příjmení bez mezer]],3)),UPPER(RIGHT(Tabulka1[[#This Row],[Jmeno bez mezer]],2)))</f>
        <v>canCH</v>
      </c>
      <c r="J156" s="2" t="s">
        <v>1275</v>
      </c>
      <c r="K156" s="2" t="s">
        <v>1761</v>
      </c>
      <c r="L156" s="3" t="s">
        <v>2165</v>
      </c>
    </row>
    <row r="157" spans="1:12" ht="30" x14ac:dyDescent="0.25">
      <c r="A157" s="2" t="s">
        <v>392</v>
      </c>
      <c r="B157" t="s">
        <v>232</v>
      </c>
      <c r="C157" t="s">
        <v>393</v>
      </c>
      <c r="D157" t="str">
        <f>TRIM(Tabulka1[[#This Row],[Jméno]])</f>
        <v>Zdenek</v>
      </c>
      <c r="E157" t="str">
        <f>TRIM(Tabulka1[[#This Row],[Příjmení]])</f>
        <v>Nguyen</v>
      </c>
      <c r="F157" s="2" t="str">
        <f>MID(Tabulka1[[#This Row],[Adresa]],1,SEARCH(",",Tabulka1[[#This Row],[Adresa]])-1)</f>
        <v>Tylova 545</v>
      </c>
      <c r="G157" s="2" t="str">
        <f>RIGHT(Tabulka1[[#This Row],[Adresa]],LEN(Tabulka1[[#This Row],[Adresa]])-LEN(Tabulka1[[#This Row],[Ulice]])-1)</f>
        <v>Karlovy Vary 1</v>
      </c>
      <c r="H157" s="2" t="str">
        <f>_xlfn.CONCAT(LOWER(Tabulka1[[#This Row],[příjmení bez mezer]]),".",LOWER(Tabulka1[[#This Row],[Jmeno bez mezer]]),"@firmaabc.cz")</f>
        <v>nguyen.zdenek@firmaabc.cz</v>
      </c>
      <c r="I157" s="2" t="str">
        <f>_xlfn.CONCAT(LOWER(LEFT(Tabulka1[[#This Row],[příjmení bez mezer]],3)),UPPER(RIGHT(Tabulka1[[#This Row],[Jmeno bez mezer]],2)))</f>
        <v>nguEK</v>
      </c>
      <c r="J157" s="2" t="s">
        <v>1276</v>
      </c>
      <c r="K157" s="2" t="s">
        <v>1762</v>
      </c>
      <c r="L157" s="3" t="s">
        <v>2166</v>
      </c>
    </row>
    <row r="158" spans="1:12" ht="60" x14ac:dyDescent="0.25">
      <c r="A158" s="2" t="s">
        <v>394</v>
      </c>
      <c r="B158" t="s">
        <v>178</v>
      </c>
      <c r="C158" t="s">
        <v>395</v>
      </c>
      <c r="D158" t="str">
        <f>TRIM(Tabulka1[[#This Row],[Jméno]])</f>
        <v>Jaroslav</v>
      </c>
      <c r="E158" t="str">
        <f>TRIM(Tabulka1[[#This Row],[Příjmení]])</f>
        <v>Martan</v>
      </c>
      <c r="F158" s="2" t="str">
        <f>MID(Tabulka1[[#This Row],[Adresa]],1,SEARCH(",",Tabulka1[[#This Row],[Adresa]])-1)</f>
        <v>Havlíčkova 1918</v>
      </c>
      <c r="G158" s="2" t="str">
        <f>RIGHT(Tabulka1[[#This Row],[Adresa]],LEN(Tabulka1[[#This Row],[Adresa]])-LEN(Tabulka1[[#This Row],[Ulice]])-1)</f>
        <v>Kamenné Žehrovice</v>
      </c>
      <c r="H158" s="2" t="str">
        <f>_xlfn.CONCAT(LOWER(Tabulka1[[#This Row],[příjmení bez mezer]]),".",LOWER(Tabulka1[[#This Row],[Jmeno bez mezer]]),"@firmaabc.cz")</f>
        <v>martan.jaroslav@firmaabc.cz</v>
      </c>
      <c r="I158" s="2" t="str">
        <f>_xlfn.CONCAT(LOWER(LEFT(Tabulka1[[#This Row],[příjmení bez mezer]],3)),UPPER(RIGHT(Tabulka1[[#This Row],[Jmeno bez mezer]],2)))</f>
        <v>marAV</v>
      </c>
      <c r="J158" s="2" t="s">
        <v>1277</v>
      </c>
      <c r="K158" s="2" t="s">
        <v>1763</v>
      </c>
      <c r="L158" s="3" t="s">
        <v>2167</v>
      </c>
    </row>
    <row r="159" spans="1:12" ht="45" x14ac:dyDescent="0.25">
      <c r="A159" s="2" t="s">
        <v>396</v>
      </c>
      <c r="B159" t="s">
        <v>291</v>
      </c>
      <c r="C159" t="s">
        <v>397</v>
      </c>
      <c r="D159" t="str">
        <f>TRIM(Tabulka1[[#This Row],[Jméno]])</f>
        <v>Jirina</v>
      </c>
      <c r="E159" t="str">
        <f>TRIM(Tabulka1[[#This Row],[Příjmení]])</f>
        <v>Radova</v>
      </c>
      <c r="F159" s="2" t="str">
        <f>MID(Tabulka1[[#This Row],[Adresa]],1,SEARCH(",",Tabulka1[[#This Row],[Adresa]])-1)</f>
        <v>U medvídků 376</v>
      </c>
      <c r="G159" s="2" t="str">
        <f>RIGHT(Tabulka1[[#This Row],[Adresa]],LEN(Tabulka1[[#This Row],[Adresa]])-LEN(Tabulka1[[#This Row],[Ulice]])-1)</f>
        <v>Višnová u Príbrame</v>
      </c>
      <c r="H159" s="2" t="str">
        <f>_xlfn.CONCAT(LOWER(Tabulka1[[#This Row],[příjmení bez mezer]]),".",LOWER(Tabulka1[[#This Row],[Jmeno bez mezer]]),"@firmaabc.cz")</f>
        <v>radova.jirina@firmaabc.cz</v>
      </c>
      <c r="I159" s="2" t="str">
        <f>_xlfn.CONCAT(LOWER(LEFT(Tabulka1[[#This Row],[příjmení bez mezer]],3)),UPPER(RIGHT(Tabulka1[[#This Row],[Jmeno bez mezer]],2)))</f>
        <v>radNA</v>
      </c>
      <c r="J159" s="2" t="s">
        <v>1278</v>
      </c>
      <c r="K159" s="2" t="s">
        <v>1764</v>
      </c>
      <c r="L159" s="3" t="s">
        <v>2168</v>
      </c>
    </row>
    <row r="160" spans="1:12" ht="45" x14ac:dyDescent="0.25">
      <c r="A160" s="2" t="s">
        <v>398</v>
      </c>
      <c r="B160" t="s">
        <v>148</v>
      </c>
      <c r="C160" t="s">
        <v>399</v>
      </c>
      <c r="D160" t="str">
        <f>TRIM(Tabulka1[[#This Row],[Jméno]])</f>
        <v>Josef</v>
      </c>
      <c r="E160" t="str">
        <f>TRIM(Tabulka1[[#This Row],[Příjmení]])</f>
        <v>Beran</v>
      </c>
      <c r="F160" s="2" t="str">
        <f>MID(Tabulka1[[#This Row],[Adresa]],1,SEARCH(",",Tabulka1[[#This Row],[Adresa]])-1)</f>
        <v>Za učilištěm 1325</v>
      </c>
      <c r="G160" s="2" t="str">
        <f>RIGHT(Tabulka1[[#This Row],[Adresa]],LEN(Tabulka1[[#This Row],[Adresa]])-LEN(Tabulka1[[#This Row],[Ulice]])-1)</f>
        <v>Nový Jicín 1</v>
      </c>
      <c r="H160" s="2" t="str">
        <f>_xlfn.CONCAT(LOWER(Tabulka1[[#This Row],[příjmení bez mezer]]),".",LOWER(Tabulka1[[#This Row],[Jmeno bez mezer]]),"@firmaabc.cz")</f>
        <v>beran.josef@firmaabc.cz</v>
      </c>
      <c r="I160" s="2" t="str">
        <f>_xlfn.CONCAT(LOWER(LEFT(Tabulka1[[#This Row],[příjmení bez mezer]],3)),UPPER(RIGHT(Tabulka1[[#This Row],[Jmeno bez mezer]],2)))</f>
        <v>berEF</v>
      </c>
      <c r="J160" s="2" t="s">
        <v>1279</v>
      </c>
      <c r="K160" s="2" t="s">
        <v>1765</v>
      </c>
      <c r="L160" s="3" t="s">
        <v>2169</v>
      </c>
    </row>
    <row r="161" spans="1:12" ht="30" x14ac:dyDescent="0.25">
      <c r="A161" s="2" t="s">
        <v>400</v>
      </c>
      <c r="B161" t="s">
        <v>303</v>
      </c>
      <c r="C161" t="s">
        <v>401</v>
      </c>
      <c r="D161" t="str">
        <f>TRIM(Tabulka1[[#This Row],[Jméno]])</f>
        <v>Lenka</v>
      </c>
      <c r="E161" t="str">
        <f>TRIM(Tabulka1[[#This Row],[Příjmení]])</f>
        <v>Burianova</v>
      </c>
      <c r="F161" s="2" t="str">
        <f>MID(Tabulka1[[#This Row],[Adresa]],1,SEARCH(",",Tabulka1[[#This Row],[Adresa]])-1)</f>
        <v>Za humny 1414</v>
      </c>
      <c r="G161" s="2" t="str">
        <f>RIGHT(Tabulka1[[#This Row],[Adresa]],LEN(Tabulka1[[#This Row],[Adresa]])-LEN(Tabulka1[[#This Row],[Ulice]])-1)</f>
        <v>Milevsko 1</v>
      </c>
      <c r="H161" s="2" t="str">
        <f>_xlfn.CONCAT(LOWER(Tabulka1[[#This Row],[příjmení bez mezer]]),".",LOWER(Tabulka1[[#This Row],[Jmeno bez mezer]]),"@firmaabc.cz")</f>
        <v>burianova.lenka@firmaabc.cz</v>
      </c>
      <c r="I161" s="2" t="str">
        <f>_xlfn.CONCAT(LOWER(LEFT(Tabulka1[[#This Row],[příjmení bez mezer]],3)),UPPER(RIGHT(Tabulka1[[#This Row],[Jmeno bez mezer]],2)))</f>
        <v>burKA</v>
      </c>
      <c r="J161" s="2" t="s">
        <v>1280</v>
      </c>
      <c r="K161" s="2" t="s">
        <v>1766</v>
      </c>
      <c r="L161" s="3" t="s">
        <v>2170</v>
      </c>
    </row>
    <row r="162" spans="1:12" ht="45" x14ac:dyDescent="0.25">
      <c r="A162" s="2" t="s">
        <v>402</v>
      </c>
      <c r="B162" t="s">
        <v>403</v>
      </c>
      <c r="C162" t="s">
        <v>404</v>
      </c>
      <c r="D162" t="str">
        <f>TRIM(Tabulka1[[#This Row],[Jméno]])</f>
        <v>Drahomira</v>
      </c>
      <c r="E162" t="str">
        <f>TRIM(Tabulka1[[#This Row],[Příjmení]])</f>
        <v>Hasmanova</v>
      </c>
      <c r="F162" s="2" t="str">
        <f>MID(Tabulka1[[#This Row],[Adresa]],1,SEARCH(",",Tabulka1[[#This Row],[Adresa]])-1)</f>
        <v>U Sokolovny 1636</v>
      </c>
      <c r="G162" s="2" t="str">
        <f>RIGHT(Tabulka1[[#This Row],[Adresa]],LEN(Tabulka1[[#This Row],[Adresa]])-LEN(Tabulka1[[#This Row],[Ulice]])-1)</f>
        <v>Libun</v>
      </c>
      <c r="H162" s="2" t="str">
        <f>_xlfn.CONCAT(LOWER(Tabulka1[[#This Row],[příjmení bez mezer]]),".",LOWER(Tabulka1[[#This Row],[Jmeno bez mezer]]),"@firmaabc.cz")</f>
        <v>hasmanova.drahomira@firmaabc.cz</v>
      </c>
      <c r="I162" s="2" t="str">
        <f>_xlfn.CONCAT(LOWER(LEFT(Tabulka1[[#This Row],[příjmení bez mezer]],3)),UPPER(RIGHT(Tabulka1[[#This Row],[Jmeno bez mezer]],2)))</f>
        <v>hasRA</v>
      </c>
      <c r="J162" s="2" t="s">
        <v>1281</v>
      </c>
      <c r="K162" s="2" t="s">
        <v>1767</v>
      </c>
      <c r="L162" s="3" t="s">
        <v>2171</v>
      </c>
    </row>
    <row r="163" spans="1:12" ht="30" x14ac:dyDescent="0.25">
      <c r="A163" s="2" t="s">
        <v>405</v>
      </c>
      <c r="B163" t="s">
        <v>258</v>
      </c>
      <c r="C163" t="s">
        <v>406</v>
      </c>
      <c r="D163" t="str">
        <f>TRIM(Tabulka1[[#This Row],[Jméno]])</f>
        <v>Bohuslav</v>
      </c>
      <c r="E163" t="str">
        <f>TRIM(Tabulka1[[#This Row],[Příjmení]])</f>
        <v>Kadlec</v>
      </c>
      <c r="F163" s="2" t="str">
        <f>MID(Tabulka1[[#This Row],[Adresa]],1,SEARCH(",",Tabulka1[[#This Row],[Adresa]])-1)</f>
        <v>Pivovarská 1709</v>
      </c>
      <c r="G163" s="2" t="str">
        <f>RIGHT(Tabulka1[[#This Row],[Adresa]],LEN(Tabulka1[[#This Row],[Adresa]])-LEN(Tabulka1[[#This Row],[Ulice]])-1)</f>
        <v>Lochovice</v>
      </c>
      <c r="H163" s="2" t="str">
        <f>_xlfn.CONCAT(LOWER(Tabulka1[[#This Row],[příjmení bez mezer]]),".",LOWER(Tabulka1[[#This Row],[Jmeno bez mezer]]),"@firmaabc.cz")</f>
        <v>kadlec.bohuslav@firmaabc.cz</v>
      </c>
      <c r="I163" s="2" t="str">
        <f>_xlfn.CONCAT(LOWER(LEFT(Tabulka1[[#This Row],[příjmení bez mezer]],3)),UPPER(RIGHT(Tabulka1[[#This Row],[Jmeno bez mezer]],2)))</f>
        <v>kadAV</v>
      </c>
      <c r="J163" s="2" t="s">
        <v>1282</v>
      </c>
      <c r="K163" s="2" t="s">
        <v>1768</v>
      </c>
      <c r="L163" s="3" t="s">
        <v>2172</v>
      </c>
    </row>
    <row r="164" spans="1:12" ht="45" x14ac:dyDescent="0.25">
      <c r="A164" s="2" t="s">
        <v>407</v>
      </c>
      <c r="B164" t="s">
        <v>88</v>
      </c>
      <c r="C164" t="s">
        <v>408</v>
      </c>
      <c r="D164" t="str">
        <f>TRIM(Tabulka1[[#This Row],[Jméno]])</f>
        <v>Pavel</v>
      </c>
      <c r="E164" t="str">
        <f>TRIM(Tabulka1[[#This Row],[Příjmení]])</f>
        <v>Kral</v>
      </c>
      <c r="F164" s="2" t="str">
        <f>MID(Tabulka1[[#This Row],[Adresa]],1,SEARCH(",",Tabulka1[[#This Row],[Adresa]])-1)</f>
        <v>U Křížku 157</v>
      </c>
      <c r="G164" s="2" t="str">
        <f>RIGHT(Tabulka1[[#This Row],[Adresa]],LEN(Tabulka1[[#This Row],[Adresa]])-LEN(Tabulka1[[#This Row],[Ulice]])-1)</f>
        <v>Frýdlant v Cechách</v>
      </c>
      <c r="H164" s="2" t="str">
        <f>_xlfn.CONCAT(LOWER(Tabulka1[[#This Row],[příjmení bez mezer]]),".",LOWER(Tabulka1[[#This Row],[Jmeno bez mezer]]),"@firmaabc.cz")</f>
        <v>kral.pavel@firmaabc.cz</v>
      </c>
      <c r="I164" s="2" t="str">
        <f>_xlfn.CONCAT(LOWER(LEFT(Tabulka1[[#This Row],[příjmení bez mezer]],3)),UPPER(RIGHT(Tabulka1[[#This Row],[Jmeno bez mezer]],2)))</f>
        <v>kraEL</v>
      </c>
      <c r="J164" s="2" t="s">
        <v>1283</v>
      </c>
      <c r="K164" s="2" t="s">
        <v>1769</v>
      </c>
      <c r="L164" s="3" t="s">
        <v>2173</v>
      </c>
    </row>
    <row r="165" spans="1:12" x14ac:dyDescent="0.25">
      <c r="A165" s="2" t="s">
        <v>409</v>
      </c>
      <c r="B165" t="s">
        <v>410</v>
      </c>
      <c r="C165" t="s">
        <v>411</v>
      </c>
      <c r="D165" t="str">
        <f>TRIM(Tabulka1[[#This Row],[Jméno]])</f>
        <v>Michaela</v>
      </c>
      <c r="E165" t="str">
        <f>TRIM(Tabulka1[[#This Row],[Příjmení]])</f>
        <v>Korinkova</v>
      </c>
      <c r="F165" s="2" t="str">
        <f>MID(Tabulka1[[#This Row],[Adresa]],1,SEARCH(",",Tabulka1[[#This Row],[Adresa]])-1)</f>
        <v>Střední 268</v>
      </c>
      <c r="G165" s="2" t="str">
        <f>RIGHT(Tabulka1[[#This Row],[Adresa]],LEN(Tabulka1[[#This Row],[Adresa]])-LEN(Tabulka1[[#This Row],[Ulice]])-1)</f>
        <v>Manetín</v>
      </c>
      <c r="H165" s="2" t="str">
        <f>_xlfn.CONCAT(LOWER(Tabulka1[[#This Row],[příjmení bez mezer]]),".",LOWER(Tabulka1[[#This Row],[Jmeno bez mezer]]),"@firmaabc.cz")</f>
        <v>korinkova.michaela@firmaabc.cz</v>
      </c>
      <c r="I165" s="2" t="str">
        <f>_xlfn.CONCAT(LOWER(LEFT(Tabulka1[[#This Row],[příjmení bez mezer]],3)),UPPER(RIGHT(Tabulka1[[#This Row],[Jmeno bez mezer]],2)))</f>
        <v>korLA</v>
      </c>
      <c r="J165" s="2" t="s">
        <v>1284</v>
      </c>
      <c r="K165" s="2" t="s">
        <v>1770</v>
      </c>
      <c r="L165" s="3" t="s">
        <v>2174</v>
      </c>
    </row>
    <row r="166" spans="1:12" ht="30" x14ac:dyDescent="0.25">
      <c r="A166" s="2" t="s">
        <v>412</v>
      </c>
      <c r="B166" t="s">
        <v>178</v>
      </c>
      <c r="C166" t="s">
        <v>399</v>
      </c>
      <c r="D166" t="str">
        <f>TRIM(Tabulka1[[#This Row],[Jméno]])</f>
        <v>Jaroslav</v>
      </c>
      <c r="E166" t="str">
        <f>TRIM(Tabulka1[[#This Row],[Příjmení]])</f>
        <v>Beran</v>
      </c>
      <c r="F166" s="2" t="str">
        <f>MID(Tabulka1[[#This Row],[Adresa]],1,SEARCH(",",Tabulka1[[#This Row],[Adresa]])-1)</f>
        <v>Vrchlického 1663</v>
      </c>
      <c r="G166" s="2" t="str">
        <f>RIGHT(Tabulka1[[#This Row],[Adresa]],LEN(Tabulka1[[#This Row],[Adresa]])-LEN(Tabulka1[[#This Row],[Ulice]])-1)</f>
        <v>Tišnov 1</v>
      </c>
      <c r="H166" s="2" t="str">
        <f>_xlfn.CONCAT(LOWER(Tabulka1[[#This Row],[příjmení bez mezer]]),".",LOWER(Tabulka1[[#This Row],[Jmeno bez mezer]]),"@firmaabc.cz")</f>
        <v>beran.jaroslav@firmaabc.cz</v>
      </c>
      <c r="I166" s="2" t="str">
        <f>_xlfn.CONCAT(LOWER(LEFT(Tabulka1[[#This Row],[příjmení bez mezer]],3)),UPPER(RIGHT(Tabulka1[[#This Row],[Jmeno bez mezer]],2)))</f>
        <v>berAV</v>
      </c>
      <c r="J166" s="2" t="s">
        <v>1285</v>
      </c>
      <c r="K166" s="2" t="s">
        <v>1771</v>
      </c>
      <c r="L166" s="3" t="s">
        <v>2175</v>
      </c>
    </row>
    <row r="167" spans="1:12" ht="30" x14ac:dyDescent="0.25">
      <c r="A167" s="2" t="s">
        <v>413</v>
      </c>
      <c r="B167" t="s">
        <v>414</v>
      </c>
      <c r="C167" t="s">
        <v>415</v>
      </c>
      <c r="D167" t="str">
        <f>TRIM(Tabulka1[[#This Row],[Jméno]])</f>
        <v>Dobromila</v>
      </c>
      <c r="E167" t="str">
        <f>TRIM(Tabulka1[[#This Row],[Příjmení]])</f>
        <v>Smolikova</v>
      </c>
      <c r="F167" s="2" t="str">
        <f>MID(Tabulka1[[#This Row],[Adresa]],1,SEARCH(",",Tabulka1[[#This Row],[Adresa]])-1)</f>
        <v>Truhlářská 439</v>
      </c>
      <c r="G167" s="2" t="str">
        <f>RIGHT(Tabulka1[[#This Row],[Adresa]],LEN(Tabulka1[[#This Row],[Adresa]])-LEN(Tabulka1[[#This Row],[Ulice]])-1)</f>
        <v>Pacov</v>
      </c>
      <c r="H167" s="2" t="str">
        <f>_xlfn.CONCAT(LOWER(Tabulka1[[#This Row],[příjmení bez mezer]]),".",LOWER(Tabulka1[[#This Row],[Jmeno bez mezer]]),"@firmaabc.cz")</f>
        <v>smolikova.dobromila@firmaabc.cz</v>
      </c>
      <c r="I167" s="2" t="str">
        <f>_xlfn.CONCAT(LOWER(LEFT(Tabulka1[[#This Row],[příjmení bez mezer]],3)),UPPER(RIGHT(Tabulka1[[#This Row],[Jmeno bez mezer]],2)))</f>
        <v>smoLA</v>
      </c>
      <c r="J167" s="2" t="s">
        <v>1286</v>
      </c>
      <c r="K167" s="2" t="s">
        <v>1734</v>
      </c>
      <c r="L167" s="3" t="s">
        <v>2176</v>
      </c>
    </row>
    <row r="168" spans="1:12" ht="30" x14ac:dyDescent="0.25">
      <c r="A168" s="2" t="s">
        <v>416</v>
      </c>
      <c r="B168" t="s">
        <v>88</v>
      </c>
      <c r="C168" t="s">
        <v>417</v>
      </c>
      <c r="D168" t="str">
        <f>TRIM(Tabulka1[[#This Row],[Jméno]])</f>
        <v>Pavel</v>
      </c>
      <c r="E168" t="str">
        <f>TRIM(Tabulka1[[#This Row],[Příjmení]])</f>
        <v>Svec</v>
      </c>
      <c r="F168" s="2" t="str">
        <f>MID(Tabulka1[[#This Row],[Adresa]],1,SEARCH(",",Tabulka1[[#This Row],[Adresa]])-1)</f>
        <v>Bavorovská 1775</v>
      </c>
      <c r="G168" s="2" t="str">
        <f>RIGHT(Tabulka1[[#This Row],[Adresa]],LEN(Tabulka1[[#This Row],[Adresa]])-LEN(Tabulka1[[#This Row],[Ulice]])-1)</f>
        <v>Stachy</v>
      </c>
      <c r="H168" s="2" t="str">
        <f>_xlfn.CONCAT(LOWER(Tabulka1[[#This Row],[příjmení bez mezer]]),".",LOWER(Tabulka1[[#This Row],[Jmeno bez mezer]]),"@firmaabc.cz")</f>
        <v>svec.pavel@firmaabc.cz</v>
      </c>
      <c r="I168" s="2" t="str">
        <f>_xlfn.CONCAT(LOWER(LEFT(Tabulka1[[#This Row],[příjmení bez mezer]],3)),UPPER(RIGHT(Tabulka1[[#This Row],[Jmeno bez mezer]],2)))</f>
        <v>sveEL</v>
      </c>
      <c r="J168" s="2" t="s">
        <v>1287</v>
      </c>
      <c r="K168" s="2" t="s">
        <v>1772</v>
      </c>
      <c r="L168" s="3" t="s">
        <v>2177</v>
      </c>
    </row>
    <row r="169" spans="1:12" ht="30" x14ac:dyDescent="0.25">
      <c r="A169" s="2" t="s">
        <v>418</v>
      </c>
      <c r="B169" t="s">
        <v>64</v>
      </c>
      <c r="C169" t="s">
        <v>419</v>
      </c>
      <c r="D169" t="str">
        <f>TRIM(Tabulka1[[#This Row],[Jméno]])</f>
        <v>Karel</v>
      </c>
      <c r="E169" t="str">
        <f>TRIM(Tabulka1[[#This Row],[Příjmení]])</f>
        <v>Stastny</v>
      </c>
      <c r="F169" s="2" t="str">
        <f>MID(Tabulka1[[#This Row],[Adresa]],1,SEARCH(",",Tabulka1[[#This Row],[Adresa]])-1)</f>
        <v>Hálkova 726</v>
      </c>
      <c r="G169" s="2" t="str">
        <f>RIGHT(Tabulka1[[#This Row],[Adresa]],LEN(Tabulka1[[#This Row],[Adresa]])-LEN(Tabulka1[[#This Row],[Ulice]])-1)</f>
        <v>Prysk</v>
      </c>
      <c r="H169" s="2" t="str">
        <f>_xlfn.CONCAT(LOWER(Tabulka1[[#This Row],[příjmení bez mezer]]),".",LOWER(Tabulka1[[#This Row],[Jmeno bez mezer]]),"@firmaabc.cz")</f>
        <v>stastny.karel@firmaabc.cz</v>
      </c>
      <c r="I169" s="2" t="str">
        <f>_xlfn.CONCAT(LOWER(LEFT(Tabulka1[[#This Row],[příjmení bez mezer]],3)),UPPER(RIGHT(Tabulka1[[#This Row],[Jmeno bez mezer]],2)))</f>
        <v>staEL</v>
      </c>
      <c r="J169" s="2" t="s">
        <v>1288</v>
      </c>
      <c r="K169" s="2" t="s">
        <v>1773</v>
      </c>
      <c r="L169" s="3" t="s">
        <v>2178</v>
      </c>
    </row>
    <row r="170" spans="1:12" ht="45" x14ac:dyDescent="0.25">
      <c r="A170" s="2" t="s">
        <v>420</v>
      </c>
      <c r="B170" t="s">
        <v>287</v>
      </c>
      <c r="C170" t="s">
        <v>421</v>
      </c>
      <c r="D170" t="str">
        <f>TRIM(Tabulka1[[#This Row],[Jméno]])</f>
        <v>Petr</v>
      </c>
      <c r="E170" t="str">
        <f>TRIM(Tabulka1[[#This Row],[Příjmení]])</f>
        <v>Berousek</v>
      </c>
      <c r="F170" s="2" t="str">
        <f>MID(Tabulka1[[#This Row],[Adresa]],1,SEARCH(",",Tabulka1[[#This Row],[Adresa]])-1)</f>
        <v>Partyzánská 21</v>
      </c>
      <c r="G170" s="2" t="str">
        <f>RIGHT(Tabulka1[[#This Row],[Adresa]],LEN(Tabulka1[[#This Row],[Adresa]])-LEN(Tabulka1[[#This Row],[Ulice]])-1)</f>
        <v>Chvalkovice v Cechách</v>
      </c>
      <c r="H170" s="2" t="str">
        <f>_xlfn.CONCAT(LOWER(Tabulka1[[#This Row],[příjmení bez mezer]]),".",LOWER(Tabulka1[[#This Row],[Jmeno bez mezer]]),"@firmaabc.cz")</f>
        <v>berousek.petr@firmaabc.cz</v>
      </c>
      <c r="I170" s="2" t="str">
        <f>_xlfn.CONCAT(LOWER(LEFT(Tabulka1[[#This Row],[příjmení bez mezer]],3)),UPPER(RIGHT(Tabulka1[[#This Row],[Jmeno bez mezer]],2)))</f>
        <v>berTR</v>
      </c>
      <c r="J170" s="2" t="s">
        <v>1289</v>
      </c>
      <c r="K170" s="2" t="s">
        <v>1774</v>
      </c>
      <c r="L170" s="3" t="s">
        <v>2179</v>
      </c>
    </row>
    <row r="171" spans="1:12" x14ac:dyDescent="0.25">
      <c r="A171" s="2" t="s">
        <v>422</v>
      </c>
      <c r="B171" t="s">
        <v>423</v>
      </c>
      <c r="C171" t="s">
        <v>105</v>
      </c>
      <c r="D171" t="str">
        <f>TRIM(Tabulka1[[#This Row],[Jméno]])</f>
        <v>Ruzena</v>
      </c>
      <c r="E171" t="str">
        <f>TRIM(Tabulka1[[#This Row],[Příjmení]])</f>
        <v>Vasickova</v>
      </c>
      <c r="F171" s="2" t="str">
        <f>MID(Tabulka1[[#This Row],[Adresa]],1,SEARCH(",",Tabulka1[[#This Row],[Adresa]])-1)</f>
        <v>Lidická 484</v>
      </c>
      <c r="G171" s="2" t="str">
        <f>RIGHT(Tabulka1[[#This Row],[Adresa]],LEN(Tabulka1[[#This Row],[Adresa]])-LEN(Tabulka1[[#This Row],[Ulice]])-1)</f>
        <v>Litomyšl</v>
      </c>
      <c r="H171" s="2" t="str">
        <f>_xlfn.CONCAT(LOWER(Tabulka1[[#This Row],[příjmení bez mezer]]),".",LOWER(Tabulka1[[#This Row],[Jmeno bez mezer]]),"@firmaabc.cz")</f>
        <v>vasickova.ruzena@firmaabc.cz</v>
      </c>
      <c r="I171" s="2" t="str">
        <f>_xlfn.CONCAT(LOWER(LEFT(Tabulka1[[#This Row],[příjmení bez mezer]],3)),UPPER(RIGHT(Tabulka1[[#This Row],[Jmeno bez mezer]],2)))</f>
        <v>vasNA</v>
      </c>
      <c r="J171" s="2" t="s">
        <v>1290</v>
      </c>
      <c r="K171" s="2" t="s">
        <v>1775</v>
      </c>
      <c r="L171" s="3" t="s">
        <v>2180</v>
      </c>
    </row>
    <row r="172" spans="1:12" ht="30" x14ac:dyDescent="0.25">
      <c r="A172" s="2" t="s">
        <v>424</v>
      </c>
      <c r="B172" t="s">
        <v>425</v>
      </c>
      <c r="C172" t="s">
        <v>426</v>
      </c>
      <c r="D172" t="str">
        <f>TRIM(Tabulka1[[#This Row],[Jméno]])</f>
        <v>Marta</v>
      </c>
      <c r="E172" t="str">
        <f>TRIM(Tabulka1[[#This Row],[Příjmení]])</f>
        <v>Kolajova</v>
      </c>
      <c r="F172" s="2" t="str">
        <f>MID(Tabulka1[[#This Row],[Adresa]],1,SEARCH(",",Tabulka1[[#This Row],[Adresa]])-1)</f>
        <v>Jeronýmova 638</v>
      </c>
      <c r="G172" s="2" t="str">
        <f>RIGHT(Tabulka1[[#This Row],[Adresa]],LEN(Tabulka1[[#This Row],[Adresa]])-LEN(Tabulka1[[#This Row],[Ulice]])-1)</f>
        <v>Polná</v>
      </c>
      <c r="H172" s="2" t="str">
        <f>_xlfn.CONCAT(LOWER(Tabulka1[[#This Row],[příjmení bez mezer]]),".",LOWER(Tabulka1[[#This Row],[Jmeno bez mezer]]),"@firmaabc.cz")</f>
        <v>kolajova.marta@firmaabc.cz</v>
      </c>
      <c r="I172" s="2" t="str">
        <f>_xlfn.CONCAT(LOWER(LEFT(Tabulka1[[#This Row],[příjmení bez mezer]],3)),UPPER(RIGHT(Tabulka1[[#This Row],[Jmeno bez mezer]],2)))</f>
        <v>kolTA</v>
      </c>
      <c r="J172" s="2" t="s">
        <v>1291</v>
      </c>
      <c r="K172" s="2" t="s">
        <v>1704</v>
      </c>
      <c r="L172" s="3" t="s">
        <v>2181</v>
      </c>
    </row>
    <row r="173" spans="1:12" ht="45" x14ac:dyDescent="0.25">
      <c r="A173" s="2" t="s">
        <v>427</v>
      </c>
      <c r="B173" t="s">
        <v>36</v>
      </c>
      <c r="C173" t="s">
        <v>428</v>
      </c>
      <c r="D173" t="str">
        <f>TRIM(Tabulka1[[#This Row],[Jméno]])</f>
        <v>Miroslava</v>
      </c>
      <c r="E173" t="str">
        <f>TRIM(Tabulka1[[#This Row],[Příjmení]])</f>
        <v>Vavrikova</v>
      </c>
      <c r="F173" s="2" t="str">
        <f>MID(Tabulka1[[#This Row],[Adresa]],1,SEARCH(",",Tabulka1[[#This Row],[Adresa]])-1)</f>
        <v>Na Průhonu 644</v>
      </c>
      <c r="G173" s="2" t="str">
        <f>RIGHT(Tabulka1[[#This Row],[Adresa]],LEN(Tabulka1[[#This Row],[Adresa]])-LEN(Tabulka1[[#This Row],[Ulice]])-1)</f>
        <v>Plzen 18</v>
      </c>
      <c r="H173" s="2" t="str">
        <f>_xlfn.CONCAT(LOWER(Tabulka1[[#This Row],[příjmení bez mezer]]),".",LOWER(Tabulka1[[#This Row],[Jmeno bez mezer]]),"@firmaabc.cz")</f>
        <v>vavrikova.miroslava@firmaabc.cz</v>
      </c>
      <c r="I173" s="2" t="str">
        <f>_xlfn.CONCAT(LOWER(LEFT(Tabulka1[[#This Row],[příjmení bez mezer]],3)),UPPER(RIGHT(Tabulka1[[#This Row],[Jmeno bez mezer]],2)))</f>
        <v>vavVA</v>
      </c>
      <c r="J173" s="2" t="s">
        <v>1292</v>
      </c>
      <c r="K173" s="2" t="s">
        <v>1776</v>
      </c>
      <c r="L173" s="3" t="s">
        <v>2182</v>
      </c>
    </row>
    <row r="174" spans="1:12" ht="45" x14ac:dyDescent="0.25">
      <c r="A174" s="2" t="s">
        <v>429</v>
      </c>
      <c r="B174" t="s">
        <v>189</v>
      </c>
      <c r="C174" t="s">
        <v>430</v>
      </c>
      <c r="D174" t="str">
        <f>TRIM(Tabulka1[[#This Row],[Jméno]])</f>
        <v>Jana</v>
      </c>
      <c r="E174" t="str">
        <f>TRIM(Tabulka1[[#This Row],[Příjmení]])</f>
        <v>Brzobohata</v>
      </c>
      <c r="F174" s="2" t="str">
        <f>MID(Tabulka1[[#This Row],[Adresa]],1,SEARCH(",",Tabulka1[[#This Row],[Adresa]])-1)</f>
        <v>Bartákova 215</v>
      </c>
      <c r="G174" s="2" t="str">
        <f>RIGHT(Tabulka1[[#This Row],[Adresa]],LEN(Tabulka1[[#This Row],[Adresa]])-LEN(Tabulka1[[#This Row],[Ulice]])-1)</f>
        <v>Slezské Rudoltice</v>
      </c>
      <c r="H174" s="2" t="str">
        <f>_xlfn.CONCAT(LOWER(Tabulka1[[#This Row],[příjmení bez mezer]]),".",LOWER(Tabulka1[[#This Row],[Jmeno bez mezer]]),"@firmaabc.cz")</f>
        <v>brzobohata.jana@firmaabc.cz</v>
      </c>
      <c r="I174" s="2" t="str">
        <f>_xlfn.CONCAT(LOWER(LEFT(Tabulka1[[#This Row],[příjmení bez mezer]],3)),UPPER(RIGHT(Tabulka1[[#This Row],[Jmeno bez mezer]],2)))</f>
        <v>brzNA</v>
      </c>
      <c r="J174" s="2" t="s">
        <v>1293</v>
      </c>
      <c r="K174" s="2" t="s">
        <v>1777</v>
      </c>
      <c r="L174" s="3" t="s">
        <v>2183</v>
      </c>
    </row>
    <row r="175" spans="1:12" ht="45" x14ac:dyDescent="0.25">
      <c r="A175" s="2" t="s">
        <v>431</v>
      </c>
      <c r="B175" t="s">
        <v>324</v>
      </c>
      <c r="C175" t="s">
        <v>182</v>
      </c>
      <c r="D175" t="str">
        <f>TRIM(Tabulka1[[#This Row],[Jméno]])</f>
        <v>Milan</v>
      </c>
      <c r="E175" t="str">
        <f>TRIM(Tabulka1[[#This Row],[Příjmení]])</f>
        <v>Janecek</v>
      </c>
      <c r="F175" s="2" t="str">
        <f>MID(Tabulka1[[#This Row],[Adresa]],1,SEARCH(",",Tabulka1[[#This Row],[Adresa]])-1)</f>
        <v>Na Průhonu 244</v>
      </c>
      <c r="G175" s="2" t="str">
        <f>RIGHT(Tabulka1[[#This Row],[Adresa]],LEN(Tabulka1[[#This Row],[Adresa]])-LEN(Tabulka1[[#This Row],[Ulice]])-1)</f>
        <v>Plzen 27</v>
      </c>
      <c r="H175" s="2" t="str">
        <f>_xlfn.CONCAT(LOWER(Tabulka1[[#This Row],[příjmení bez mezer]]),".",LOWER(Tabulka1[[#This Row],[Jmeno bez mezer]]),"@firmaabc.cz")</f>
        <v>janecek.milan@firmaabc.cz</v>
      </c>
      <c r="I175" s="2" t="str">
        <f>_xlfn.CONCAT(LOWER(LEFT(Tabulka1[[#This Row],[příjmení bez mezer]],3)),UPPER(RIGHT(Tabulka1[[#This Row],[Jmeno bez mezer]],2)))</f>
        <v>janAN</v>
      </c>
      <c r="J175" s="2" t="s">
        <v>1294</v>
      </c>
      <c r="K175" s="2" t="s">
        <v>1778</v>
      </c>
      <c r="L175" s="3" t="s">
        <v>2184</v>
      </c>
    </row>
    <row r="176" spans="1:12" ht="30" x14ac:dyDescent="0.25">
      <c r="A176" s="2" t="s">
        <v>432</v>
      </c>
      <c r="B176" t="s">
        <v>85</v>
      </c>
      <c r="C176" t="s">
        <v>433</v>
      </c>
      <c r="D176" t="str">
        <f>TRIM(Tabulka1[[#This Row],[Jméno]])</f>
        <v>Martin</v>
      </c>
      <c r="E176" t="str">
        <f>TRIM(Tabulka1[[#This Row],[Příjmení]])</f>
        <v>Kozisek</v>
      </c>
      <c r="F176" s="2" t="str">
        <f>MID(Tabulka1[[#This Row],[Adresa]],1,SEARCH(",",Tabulka1[[#This Row],[Adresa]])-1)</f>
        <v>Nová 611</v>
      </c>
      <c r="G176" s="2" t="str">
        <f>RIGHT(Tabulka1[[#This Row],[Adresa]],LEN(Tabulka1[[#This Row],[Adresa]])-LEN(Tabulka1[[#This Row],[Ulice]])-1)</f>
        <v>Mšeno u Melníka</v>
      </c>
      <c r="H176" s="2" t="str">
        <f>_xlfn.CONCAT(LOWER(Tabulka1[[#This Row],[příjmení bez mezer]]),".",LOWER(Tabulka1[[#This Row],[Jmeno bez mezer]]),"@firmaabc.cz")</f>
        <v>kozisek.martin@firmaabc.cz</v>
      </c>
      <c r="I176" s="2" t="str">
        <f>_xlfn.CONCAT(LOWER(LEFT(Tabulka1[[#This Row],[příjmení bez mezer]],3)),UPPER(RIGHT(Tabulka1[[#This Row],[Jmeno bez mezer]],2)))</f>
        <v>kozIN</v>
      </c>
      <c r="J176" s="2" t="s">
        <v>1295</v>
      </c>
      <c r="K176" s="2" t="s">
        <v>1779</v>
      </c>
      <c r="L176" s="3" t="s">
        <v>2185</v>
      </c>
    </row>
    <row r="177" spans="1:12" ht="30" x14ac:dyDescent="0.25">
      <c r="A177" s="2" t="s">
        <v>434</v>
      </c>
      <c r="B177" t="s">
        <v>362</v>
      </c>
      <c r="C177" t="s">
        <v>435</v>
      </c>
      <c r="D177" t="str">
        <f>TRIM(Tabulka1[[#This Row],[Jméno]])</f>
        <v>Danuse</v>
      </c>
      <c r="E177" t="str">
        <f>TRIM(Tabulka1[[#This Row],[Příjmení]])</f>
        <v>Richtrova</v>
      </c>
      <c r="F177" s="2" t="str">
        <f>MID(Tabulka1[[#This Row],[Adresa]],1,SEARCH(",",Tabulka1[[#This Row],[Adresa]])-1)</f>
        <v>Mírová 1523</v>
      </c>
      <c r="G177" s="2" t="str">
        <f>RIGHT(Tabulka1[[#This Row],[Adresa]],LEN(Tabulka1[[#This Row],[Adresa]])-LEN(Tabulka1[[#This Row],[Ulice]])-1)</f>
        <v>Bobrová</v>
      </c>
      <c r="H177" s="2" t="str">
        <f>_xlfn.CONCAT(LOWER(Tabulka1[[#This Row],[příjmení bez mezer]]),".",LOWER(Tabulka1[[#This Row],[Jmeno bez mezer]]),"@firmaabc.cz")</f>
        <v>richtrova.danuse@firmaabc.cz</v>
      </c>
      <c r="I177" s="2" t="str">
        <f>_xlfn.CONCAT(LOWER(LEFT(Tabulka1[[#This Row],[příjmení bez mezer]],3)),UPPER(RIGHT(Tabulka1[[#This Row],[Jmeno bez mezer]],2)))</f>
        <v>ricSE</v>
      </c>
      <c r="J177" s="2" t="s">
        <v>1296</v>
      </c>
      <c r="K177" s="2" t="s">
        <v>1759</v>
      </c>
      <c r="L177" s="3" t="s">
        <v>2186</v>
      </c>
    </row>
    <row r="178" spans="1:12" ht="30" x14ac:dyDescent="0.25">
      <c r="A178" s="2" t="s">
        <v>436</v>
      </c>
      <c r="B178" t="s">
        <v>437</v>
      </c>
      <c r="C178" t="s">
        <v>438</v>
      </c>
      <c r="D178" t="str">
        <f>TRIM(Tabulka1[[#This Row],[Jméno]])</f>
        <v>Milena</v>
      </c>
      <c r="E178" t="str">
        <f>TRIM(Tabulka1[[#This Row],[Příjmení]])</f>
        <v>Balazova</v>
      </c>
      <c r="F178" s="2" t="str">
        <f>MID(Tabulka1[[#This Row],[Adresa]],1,SEARCH(",",Tabulka1[[#This Row],[Adresa]])-1)</f>
        <v>Pivovarská 130</v>
      </c>
      <c r="G178" s="2" t="str">
        <f>RIGHT(Tabulka1[[#This Row],[Adresa]],LEN(Tabulka1[[#This Row],[Adresa]])-LEN(Tabulka1[[#This Row],[Ulice]])-1)</f>
        <v>Trebívlice</v>
      </c>
      <c r="H178" s="2" t="str">
        <f>_xlfn.CONCAT(LOWER(Tabulka1[[#This Row],[příjmení bez mezer]]),".",LOWER(Tabulka1[[#This Row],[Jmeno bez mezer]]),"@firmaabc.cz")</f>
        <v>balazova.milena@firmaabc.cz</v>
      </c>
      <c r="I178" s="2" t="str">
        <f>_xlfn.CONCAT(LOWER(LEFT(Tabulka1[[#This Row],[příjmení bez mezer]],3)),UPPER(RIGHT(Tabulka1[[#This Row],[Jmeno bez mezer]],2)))</f>
        <v>balNA</v>
      </c>
      <c r="J178" s="2" t="s">
        <v>1297</v>
      </c>
      <c r="K178" s="2" t="s">
        <v>1780</v>
      </c>
      <c r="L178" s="3" t="s">
        <v>2187</v>
      </c>
    </row>
    <row r="179" spans="1:12" ht="30" x14ac:dyDescent="0.25">
      <c r="A179" s="2" t="s">
        <v>439</v>
      </c>
      <c r="B179" t="s">
        <v>440</v>
      </c>
      <c r="C179" t="s">
        <v>441</v>
      </c>
      <c r="D179" t="str">
        <f>TRIM(Tabulka1[[#This Row],[Jméno]])</f>
        <v>Ludek</v>
      </c>
      <c r="E179" t="str">
        <f>TRIM(Tabulka1[[#This Row],[Příjmení]])</f>
        <v>Kulhanek</v>
      </c>
      <c r="F179" s="2" t="str">
        <f>MID(Tabulka1[[#This Row],[Adresa]],1,SEARCH(",",Tabulka1[[#This Row],[Adresa]])-1)</f>
        <v>Barákova 823</v>
      </c>
      <c r="G179" s="2" t="str">
        <f>RIGHT(Tabulka1[[#This Row],[Adresa]],LEN(Tabulka1[[#This Row],[Adresa]])-LEN(Tabulka1[[#This Row],[Ulice]])-1)</f>
        <v>Mratín</v>
      </c>
      <c r="H179" s="2" t="str">
        <f>_xlfn.CONCAT(LOWER(Tabulka1[[#This Row],[příjmení bez mezer]]),".",LOWER(Tabulka1[[#This Row],[Jmeno bez mezer]]),"@firmaabc.cz")</f>
        <v>kulhanek.ludek@firmaabc.cz</v>
      </c>
      <c r="I179" s="2" t="str">
        <f>_xlfn.CONCAT(LOWER(LEFT(Tabulka1[[#This Row],[příjmení bez mezer]],3)),UPPER(RIGHT(Tabulka1[[#This Row],[Jmeno bez mezer]],2)))</f>
        <v>kulEK</v>
      </c>
      <c r="J179" s="2" t="s">
        <v>1298</v>
      </c>
      <c r="K179" s="2" t="s">
        <v>1781</v>
      </c>
      <c r="L179" s="3" t="s">
        <v>2188</v>
      </c>
    </row>
    <row r="180" spans="1:12" ht="30" x14ac:dyDescent="0.25">
      <c r="A180" s="2" t="s">
        <v>442</v>
      </c>
      <c r="B180" t="s">
        <v>12</v>
      </c>
      <c r="C180" t="s">
        <v>443</v>
      </c>
      <c r="D180" t="str">
        <f>TRIM(Tabulka1[[#This Row],[Jméno]])</f>
        <v>Martina</v>
      </c>
      <c r="E180" t="str">
        <f>TRIM(Tabulka1[[#This Row],[Příjmení]])</f>
        <v>Stejskalova</v>
      </c>
      <c r="F180" s="2" t="str">
        <f>MID(Tabulka1[[#This Row],[Adresa]],1,SEARCH(",",Tabulka1[[#This Row],[Adresa]])-1)</f>
        <v>Dukelská 1781</v>
      </c>
      <c r="G180" s="2" t="str">
        <f>RIGHT(Tabulka1[[#This Row],[Adresa]],LEN(Tabulka1[[#This Row],[Adresa]])-LEN(Tabulka1[[#This Row],[Ulice]])-1)</f>
        <v>Odry</v>
      </c>
      <c r="H180" s="2" t="str">
        <f>_xlfn.CONCAT(LOWER(Tabulka1[[#This Row],[příjmení bez mezer]]),".",LOWER(Tabulka1[[#This Row],[Jmeno bez mezer]]),"@firmaabc.cz")</f>
        <v>stejskalova.martina@firmaabc.cz</v>
      </c>
      <c r="I180" s="2" t="str">
        <f>_xlfn.CONCAT(LOWER(LEFT(Tabulka1[[#This Row],[příjmení bez mezer]],3)),UPPER(RIGHT(Tabulka1[[#This Row],[Jmeno bez mezer]],2)))</f>
        <v>steNA</v>
      </c>
      <c r="J180" s="2" t="s">
        <v>1299</v>
      </c>
      <c r="K180" s="2" t="s">
        <v>1782</v>
      </c>
      <c r="L180" s="3" t="s">
        <v>2189</v>
      </c>
    </row>
    <row r="181" spans="1:12" ht="30" x14ac:dyDescent="0.25">
      <c r="A181" s="2" t="s">
        <v>444</v>
      </c>
      <c r="B181" t="s">
        <v>445</v>
      </c>
      <c r="C181" t="s">
        <v>446</v>
      </c>
      <c r="D181" t="str">
        <f>TRIM(Tabulka1[[#This Row],[Jméno]])</f>
        <v>Vlastimil</v>
      </c>
      <c r="E181" t="str">
        <f>TRIM(Tabulka1[[#This Row],[Příjmení]])</f>
        <v>Fiser</v>
      </c>
      <c r="F181" s="2" t="str">
        <f>MID(Tabulka1[[#This Row],[Adresa]],1,SEARCH(",",Tabulka1[[#This Row],[Adresa]])-1)</f>
        <v>Matiegkova 1228</v>
      </c>
      <c r="G181" s="2" t="str">
        <f>RIGHT(Tabulka1[[#This Row],[Adresa]],LEN(Tabulka1[[#This Row],[Adresa]])-LEN(Tabulka1[[#This Row],[Ulice]])-1)</f>
        <v>Divišov</v>
      </c>
      <c r="H181" s="2" t="str">
        <f>_xlfn.CONCAT(LOWER(Tabulka1[[#This Row],[příjmení bez mezer]]),".",LOWER(Tabulka1[[#This Row],[Jmeno bez mezer]]),"@firmaabc.cz")</f>
        <v>fiser.vlastimil@firmaabc.cz</v>
      </c>
      <c r="I181" s="2" t="str">
        <f>_xlfn.CONCAT(LOWER(LEFT(Tabulka1[[#This Row],[příjmení bez mezer]],3)),UPPER(RIGHT(Tabulka1[[#This Row],[Jmeno bez mezer]],2)))</f>
        <v>fisIL</v>
      </c>
      <c r="J181" s="2" t="s">
        <v>1300</v>
      </c>
      <c r="K181" s="2" t="s">
        <v>1783</v>
      </c>
      <c r="L181" s="3" t="s">
        <v>2190</v>
      </c>
    </row>
    <row r="182" spans="1:12" ht="30" x14ac:dyDescent="0.25">
      <c r="A182" s="2" t="s">
        <v>447</v>
      </c>
      <c r="B182" t="s">
        <v>253</v>
      </c>
      <c r="C182" t="s">
        <v>448</v>
      </c>
      <c r="D182" t="str">
        <f>TRIM(Tabulka1[[#This Row],[Jméno]])</f>
        <v>Eva</v>
      </c>
      <c r="E182" t="str">
        <f>TRIM(Tabulka1[[#This Row],[Příjmení]])</f>
        <v>Horakova</v>
      </c>
      <c r="F182" s="2" t="str">
        <f>MID(Tabulka1[[#This Row],[Adresa]],1,SEARCH(",",Tabulka1[[#This Row],[Adresa]])-1)</f>
        <v>Hřbitovní 747</v>
      </c>
      <c r="G182" s="2" t="str">
        <f>RIGHT(Tabulka1[[#This Row],[Adresa]],LEN(Tabulka1[[#This Row],[Adresa]])-LEN(Tabulka1[[#This Row],[Ulice]])-1)</f>
        <v>Štítná nad Vlárí</v>
      </c>
      <c r="H182" s="2" t="str">
        <f>_xlfn.CONCAT(LOWER(Tabulka1[[#This Row],[příjmení bez mezer]]),".",LOWER(Tabulka1[[#This Row],[Jmeno bez mezer]]),"@firmaabc.cz")</f>
        <v>horakova.eva@firmaabc.cz</v>
      </c>
      <c r="I182" s="2" t="str">
        <f>_xlfn.CONCAT(LOWER(LEFT(Tabulka1[[#This Row],[příjmení bez mezer]],3)),UPPER(RIGHT(Tabulka1[[#This Row],[Jmeno bez mezer]],2)))</f>
        <v>horVA</v>
      </c>
      <c r="J182" s="2" t="s">
        <v>1301</v>
      </c>
      <c r="K182" s="2" t="s">
        <v>1748</v>
      </c>
      <c r="L182" s="3" t="s">
        <v>2191</v>
      </c>
    </row>
    <row r="183" spans="1:12" ht="30" x14ac:dyDescent="0.25">
      <c r="A183" s="2" t="s">
        <v>449</v>
      </c>
      <c r="B183" t="s">
        <v>96</v>
      </c>
      <c r="C183" t="s">
        <v>450</v>
      </c>
      <c r="D183" t="str">
        <f>TRIM(Tabulka1[[#This Row],[Jméno]])</f>
        <v>Lukas</v>
      </c>
      <c r="E183" t="str">
        <f>TRIM(Tabulka1[[#This Row],[Příjmení]])</f>
        <v>Prazak</v>
      </c>
      <c r="F183" s="2" t="str">
        <f>MID(Tabulka1[[#This Row],[Adresa]],1,SEARCH(",",Tabulka1[[#This Row],[Adresa]])-1)</f>
        <v>Družstevní 1868</v>
      </c>
      <c r="G183" s="2" t="str">
        <f>RIGHT(Tabulka1[[#This Row],[Adresa]],LEN(Tabulka1[[#This Row],[Adresa]])-LEN(Tabulka1[[#This Row],[Ulice]])-1)</f>
        <v>Horní Nemcí</v>
      </c>
      <c r="H183" s="2" t="str">
        <f>_xlfn.CONCAT(LOWER(Tabulka1[[#This Row],[příjmení bez mezer]]),".",LOWER(Tabulka1[[#This Row],[Jmeno bez mezer]]),"@firmaabc.cz")</f>
        <v>prazak.lukas@firmaabc.cz</v>
      </c>
      <c r="I183" s="2" t="str">
        <f>_xlfn.CONCAT(LOWER(LEFT(Tabulka1[[#This Row],[příjmení bez mezer]],3)),UPPER(RIGHT(Tabulka1[[#This Row],[Jmeno bez mezer]],2)))</f>
        <v>praAS</v>
      </c>
      <c r="J183" s="2" t="s">
        <v>1302</v>
      </c>
      <c r="K183" s="2" t="s">
        <v>1784</v>
      </c>
      <c r="L183" s="3" t="s">
        <v>2192</v>
      </c>
    </row>
    <row r="184" spans="1:12" x14ac:dyDescent="0.25">
      <c r="A184" s="2" t="s">
        <v>451</v>
      </c>
      <c r="B184" t="s">
        <v>189</v>
      </c>
      <c r="C184" t="s">
        <v>452</v>
      </c>
      <c r="D184" t="str">
        <f>TRIM(Tabulka1[[#This Row],[Jméno]])</f>
        <v>Jana</v>
      </c>
      <c r="E184" t="str">
        <f>TRIM(Tabulka1[[#This Row],[Příjmení]])</f>
        <v>Pisarikova</v>
      </c>
      <c r="F184" s="2" t="str">
        <f>MID(Tabulka1[[#This Row],[Adresa]],1,SEARCH(",",Tabulka1[[#This Row],[Adresa]])-1)</f>
        <v>V Aleji 465</v>
      </c>
      <c r="G184" s="2" t="str">
        <f>RIGHT(Tabulka1[[#This Row],[Adresa]],LEN(Tabulka1[[#This Row],[Adresa]])-LEN(Tabulka1[[#This Row],[Ulice]])-1)</f>
        <v>Skalná</v>
      </c>
      <c r="H184" s="2" t="str">
        <f>_xlfn.CONCAT(LOWER(Tabulka1[[#This Row],[příjmení bez mezer]]),".",LOWER(Tabulka1[[#This Row],[Jmeno bez mezer]]),"@firmaabc.cz")</f>
        <v>pisarikova.jana@firmaabc.cz</v>
      </c>
      <c r="I184" s="2" t="str">
        <f>_xlfn.CONCAT(LOWER(LEFT(Tabulka1[[#This Row],[příjmení bez mezer]],3)),UPPER(RIGHT(Tabulka1[[#This Row],[Jmeno bez mezer]],2)))</f>
        <v>pisNA</v>
      </c>
      <c r="J184" s="2" t="s">
        <v>1303</v>
      </c>
      <c r="K184" s="2" t="s">
        <v>1785</v>
      </c>
      <c r="L184" s="3" t="s">
        <v>2193</v>
      </c>
    </row>
    <row r="185" spans="1:12" ht="45" x14ac:dyDescent="0.25">
      <c r="A185" s="2" t="s">
        <v>453</v>
      </c>
      <c r="B185" t="s">
        <v>45</v>
      </c>
      <c r="C185" t="s">
        <v>454</v>
      </c>
      <c r="D185" t="str">
        <f>TRIM(Tabulka1[[#This Row],[Jméno]])</f>
        <v>Tomas</v>
      </c>
      <c r="E185" t="str">
        <f>TRIM(Tabulka1[[#This Row],[Příjmení]])</f>
        <v>Roubicek</v>
      </c>
      <c r="F185" s="2" t="str">
        <f>MID(Tabulka1[[#This Row],[Adresa]],1,SEARCH(",",Tabulka1[[#This Row],[Adresa]])-1)</f>
        <v>Bratří Čapků 1178</v>
      </c>
      <c r="G185" s="2" t="str">
        <f>RIGHT(Tabulka1[[#This Row],[Adresa]],LEN(Tabulka1[[#This Row],[Adresa]])-LEN(Tabulka1[[#This Row],[Ulice]])-1)</f>
        <v>Bílá Tremešná</v>
      </c>
      <c r="H185" s="2" t="str">
        <f>_xlfn.CONCAT(LOWER(Tabulka1[[#This Row],[příjmení bez mezer]]),".",LOWER(Tabulka1[[#This Row],[Jmeno bez mezer]]),"@firmaabc.cz")</f>
        <v>roubicek.tomas@firmaabc.cz</v>
      </c>
      <c r="I185" s="2" t="str">
        <f>_xlfn.CONCAT(LOWER(LEFT(Tabulka1[[#This Row],[příjmení bez mezer]],3)),UPPER(RIGHT(Tabulka1[[#This Row],[Jmeno bez mezer]],2)))</f>
        <v>rouAS</v>
      </c>
      <c r="J185" s="2" t="s">
        <v>1304</v>
      </c>
      <c r="K185" s="2" t="s">
        <v>1786</v>
      </c>
      <c r="L185" s="3" t="s">
        <v>2194</v>
      </c>
    </row>
    <row r="186" spans="1:12" ht="30" x14ac:dyDescent="0.25">
      <c r="A186" s="2" t="s">
        <v>455</v>
      </c>
      <c r="B186" t="s">
        <v>456</v>
      </c>
      <c r="C186" t="s">
        <v>457</v>
      </c>
      <c r="D186" t="str">
        <f>TRIM(Tabulka1[[#This Row],[Jméno]])</f>
        <v>Libor</v>
      </c>
      <c r="E186" t="str">
        <f>TRIM(Tabulka1[[#This Row],[Příjmení]])</f>
        <v>Rusek</v>
      </c>
      <c r="F186" s="2" t="str">
        <f>MID(Tabulka1[[#This Row],[Adresa]],1,SEARCH(",",Tabulka1[[#This Row],[Adresa]])-1)</f>
        <v>Barákova 1043</v>
      </c>
      <c r="G186" s="2" t="str">
        <f>RIGHT(Tabulka1[[#This Row],[Adresa]],LEN(Tabulka1[[#This Row],[Adresa]])-LEN(Tabulka1[[#This Row],[Ulice]])-1)</f>
        <v>Káraný</v>
      </c>
      <c r="H186" s="2" t="str">
        <f>_xlfn.CONCAT(LOWER(Tabulka1[[#This Row],[příjmení bez mezer]]),".",LOWER(Tabulka1[[#This Row],[Jmeno bez mezer]]),"@firmaabc.cz")</f>
        <v>rusek.libor@firmaabc.cz</v>
      </c>
      <c r="I186" s="2" t="str">
        <f>_xlfn.CONCAT(LOWER(LEFT(Tabulka1[[#This Row],[příjmení bez mezer]],3)),UPPER(RIGHT(Tabulka1[[#This Row],[Jmeno bez mezer]],2)))</f>
        <v>rusOR</v>
      </c>
      <c r="J186" s="2" t="s">
        <v>1305</v>
      </c>
      <c r="K186" s="2" t="s">
        <v>1787</v>
      </c>
      <c r="L186" s="3" t="s">
        <v>2195</v>
      </c>
    </row>
    <row r="187" spans="1:12" ht="30" x14ac:dyDescent="0.25">
      <c r="A187" s="2" t="s">
        <v>458</v>
      </c>
      <c r="B187" t="s">
        <v>148</v>
      </c>
      <c r="C187" t="s">
        <v>459</v>
      </c>
      <c r="D187" t="str">
        <f>TRIM(Tabulka1[[#This Row],[Jméno]])</f>
        <v>Josef</v>
      </c>
      <c r="E187" t="str">
        <f>TRIM(Tabulka1[[#This Row],[Příjmení]])</f>
        <v>Belohlavek</v>
      </c>
      <c r="F187" s="2" t="str">
        <f>MID(Tabulka1[[#This Row],[Adresa]],1,SEARCH(",",Tabulka1[[#This Row],[Adresa]])-1)</f>
        <v>Truhlářská 1944</v>
      </c>
      <c r="G187" s="2" t="str">
        <f>RIGHT(Tabulka1[[#This Row],[Adresa]],LEN(Tabulka1[[#This Row],[Adresa]])-LEN(Tabulka1[[#This Row],[Ulice]])-1)</f>
        <v>Pacov</v>
      </c>
      <c r="H187" s="2" t="str">
        <f>_xlfn.CONCAT(LOWER(Tabulka1[[#This Row],[příjmení bez mezer]]),".",LOWER(Tabulka1[[#This Row],[Jmeno bez mezer]]),"@firmaabc.cz")</f>
        <v>belohlavek.josef@firmaabc.cz</v>
      </c>
      <c r="I187" s="2" t="str">
        <f>_xlfn.CONCAT(LOWER(LEFT(Tabulka1[[#This Row],[příjmení bez mezer]],3)),UPPER(RIGHT(Tabulka1[[#This Row],[Jmeno bez mezer]],2)))</f>
        <v>belEF</v>
      </c>
      <c r="J187" s="2" t="s">
        <v>1306</v>
      </c>
      <c r="K187" s="2" t="s">
        <v>1734</v>
      </c>
      <c r="L187" s="3" t="s">
        <v>2196</v>
      </c>
    </row>
    <row r="188" spans="1:12" ht="45" x14ac:dyDescent="0.25">
      <c r="A188" s="2" t="s">
        <v>460</v>
      </c>
      <c r="B188" t="s">
        <v>85</v>
      </c>
      <c r="C188" t="s">
        <v>461</v>
      </c>
      <c r="D188" t="str">
        <f>TRIM(Tabulka1[[#This Row],[Jméno]])</f>
        <v>Martin</v>
      </c>
      <c r="E188" t="str">
        <f>TRIM(Tabulka1[[#This Row],[Příjmení]])</f>
        <v>Placek</v>
      </c>
      <c r="F188" s="2" t="str">
        <f>MID(Tabulka1[[#This Row],[Adresa]],1,SEARCH(",",Tabulka1[[#This Row],[Adresa]])-1)</f>
        <v>Tylova 690</v>
      </c>
      <c r="G188" s="2" t="str">
        <f>RIGHT(Tabulka1[[#This Row],[Adresa]],LEN(Tabulka1[[#This Row],[Adresa]])-LEN(Tabulka1[[#This Row],[Ulice]])-1)</f>
        <v>Jaromerice u Jevícka</v>
      </c>
      <c r="H188" s="2" t="str">
        <f>_xlfn.CONCAT(LOWER(Tabulka1[[#This Row],[příjmení bez mezer]]),".",LOWER(Tabulka1[[#This Row],[Jmeno bez mezer]]),"@firmaabc.cz")</f>
        <v>placek.martin@firmaabc.cz</v>
      </c>
      <c r="I188" s="2" t="str">
        <f>_xlfn.CONCAT(LOWER(LEFT(Tabulka1[[#This Row],[příjmení bez mezer]],3)),UPPER(RIGHT(Tabulka1[[#This Row],[Jmeno bez mezer]],2)))</f>
        <v>plaIN</v>
      </c>
      <c r="J188" s="2" t="s">
        <v>1307</v>
      </c>
      <c r="K188" s="2" t="s">
        <v>1788</v>
      </c>
      <c r="L188" s="3" t="s">
        <v>2197</v>
      </c>
    </row>
    <row r="189" spans="1:12" ht="30" x14ac:dyDescent="0.25">
      <c r="A189" s="2" t="s">
        <v>462</v>
      </c>
      <c r="B189" t="s">
        <v>113</v>
      </c>
      <c r="C189" t="s">
        <v>463</v>
      </c>
      <c r="D189" t="str">
        <f>TRIM(Tabulka1[[#This Row],[Jméno]])</f>
        <v>Jiri</v>
      </c>
      <c r="E189" t="str">
        <f>TRIM(Tabulka1[[#This Row],[Příjmení]])</f>
        <v>Patka</v>
      </c>
      <c r="F189" s="2" t="str">
        <f>MID(Tabulka1[[#This Row],[Adresa]],1,SEARCH(",",Tabulka1[[#This Row],[Adresa]])-1)</f>
        <v>Lidická 1784</v>
      </c>
      <c r="G189" s="2" t="str">
        <f>RIGHT(Tabulka1[[#This Row],[Adresa]],LEN(Tabulka1[[#This Row],[Adresa]])-LEN(Tabulka1[[#This Row],[Ulice]])-1)</f>
        <v>Litomyšl</v>
      </c>
      <c r="H189" s="2" t="str">
        <f>_xlfn.CONCAT(LOWER(Tabulka1[[#This Row],[příjmení bez mezer]]),".",LOWER(Tabulka1[[#This Row],[Jmeno bez mezer]]),"@firmaabc.cz")</f>
        <v>patka.jiri@firmaabc.cz</v>
      </c>
      <c r="I189" s="2" t="str">
        <f>_xlfn.CONCAT(LOWER(LEFT(Tabulka1[[#This Row],[příjmení bez mezer]],3)),UPPER(RIGHT(Tabulka1[[#This Row],[Jmeno bez mezer]],2)))</f>
        <v>patRI</v>
      </c>
      <c r="J189" s="2" t="s">
        <v>1308</v>
      </c>
      <c r="K189" s="2" t="s">
        <v>1775</v>
      </c>
      <c r="L189" s="3" t="s">
        <v>2198</v>
      </c>
    </row>
    <row r="190" spans="1:12" ht="30" x14ac:dyDescent="0.25">
      <c r="A190" s="2" t="s">
        <v>464</v>
      </c>
      <c r="B190" t="s">
        <v>79</v>
      </c>
      <c r="C190" t="s">
        <v>465</v>
      </c>
      <c r="D190" t="str">
        <f>TRIM(Tabulka1[[#This Row],[Jméno]])</f>
        <v>Miroslav</v>
      </c>
      <c r="E190" t="str">
        <f>TRIM(Tabulka1[[#This Row],[Příjmení]])</f>
        <v>Kucera</v>
      </c>
      <c r="F190" s="2" t="str">
        <f>MID(Tabulka1[[#This Row],[Adresa]],1,SEARCH(",",Tabulka1[[#This Row],[Adresa]])-1)</f>
        <v>Opltova 1752</v>
      </c>
      <c r="G190" s="2" t="str">
        <f>RIGHT(Tabulka1[[#This Row],[Adresa]],LEN(Tabulka1[[#This Row],[Adresa]])-LEN(Tabulka1[[#This Row],[Ulice]])-1)</f>
        <v>Cítoliby</v>
      </c>
      <c r="H190" s="2" t="str">
        <f>_xlfn.CONCAT(LOWER(Tabulka1[[#This Row],[příjmení bez mezer]]),".",LOWER(Tabulka1[[#This Row],[Jmeno bez mezer]]),"@firmaabc.cz")</f>
        <v>kucera.miroslav@firmaabc.cz</v>
      </c>
      <c r="I190" s="2" t="str">
        <f>_xlfn.CONCAT(LOWER(LEFT(Tabulka1[[#This Row],[příjmení bez mezer]],3)),UPPER(RIGHT(Tabulka1[[#This Row],[Jmeno bez mezer]],2)))</f>
        <v>kucAV</v>
      </c>
      <c r="J190" s="2" t="s">
        <v>1309</v>
      </c>
      <c r="K190" s="2" t="s">
        <v>1789</v>
      </c>
      <c r="L190" s="3" t="s">
        <v>2199</v>
      </c>
    </row>
    <row r="191" spans="1:12" ht="30" x14ac:dyDescent="0.25">
      <c r="A191" s="2" t="s">
        <v>466</v>
      </c>
      <c r="B191" t="s">
        <v>467</v>
      </c>
      <c r="C191" t="s">
        <v>468</v>
      </c>
      <c r="D191" t="str">
        <f>TRIM(Tabulka1[[#This Row],[Jméno]])</f>
        <v>Matej</v>
      </c>
      <c r="E191" t="str">
        <f>TRIM(Tabulka1[[#This Row],[Příjmení]])</f>
        <v>Krenek</v>
      </c>
      <c r="F191" s="2" t="str">
        <f>MID(Tabulka1[[#This Row],[Adresa]],1,SEARCH(",",Tabulka1[[#This Row],[Adresa]])-1)</f>
        <v>Strmá 1315</v>
      </c>
      <c r="G191" s="2" t="str">
        <f>RIGHT(Tabulka1[[#This Row],[Adresa]],LEN(Tabulka1[[#This Row],[Adresa]])-LEN(Tabulka1[[#This Row],[Ulice]])-1)</f>
        <v>Ceský Tešín 1</v>
      </c>
      <c r="H191" s="2" t="str">
        <f>_xlfn.CONCAT(LOWER(Tabulka1[[#This Row],[příjmení bez mezer]]),".",LOWER(Tabulka1[[#This Row],[Jmeno bez mezer]]),"@firmaabc.cz")</f>
        <v>krenek.matej@firmaabc.cz</v>
      </c>
      <c r="I191" s="2" t="str">
        <f>_xlfn.CONCAT(LOWER(LEFT(Tabulka1[[#This Row],[příjmení bez mezer]],3)),UPPER(RIGHT(Tabulka1[[#This Row],[Jmeno bez mezer]],2)))</f>
        <v>kreEJ</v>
      </c>
      <c r="J191" s="2" t="s">
        <v>1310</v>
      </c>
      <c r="K191" s="2" t="s">
        <v>1790</v>
      </c>
      <c r="L191" s="3" t="s">
        <v>2200</v>
      </c>
    </row>
    <row r="192" spans="1:12" ht="30" x14ac:dyDescent="0.25">
      <c r="A192" s="2" t="s">
        <v>469</v>
      </c>
      <c r="B192" t="s">
        <v>287</v>
      </c>
      <c r="C192" t="s">
        <v>470</v>
      </c>
      <c r="D192" t="str">
        <f>TRIM(Tabulka1[[#This Row],[Jméno]])</f>
        <v>Petr</v>
      </c>
      <c r="E192" t="str">
        <f>TRIM(Tabulka1[[#This Row],[Příjmení]])</f>
        <v>Turek</v>
      </c>
      <c r="F192" s="2" t="str">
        <f>MID(Tabulka1[[#This Row],[Adresa]],1,SEARCH(",",Tabulka1[[#This Row],[Adresa]])-1)</f>
        <v>Za humny 1826</v>
      </c>
      <c r="G192" s="2" t="str">
        <f>RIGHT(Tabulka1[[#This Row],[Adresa]],LEN(Tabulka1[[#This Row],[Adresa]])-LEN(Tabulka1[[#This Row],[Ulice]])-1)</f>
        <v>Milevsko 1</v>
      </c>
      <c r="H192" s="2" t="str">
        <f>_xlfn.CONCAT(LOWER(Tabulka1[[#This Row],[příjmení bez mezer]]),".",LOWER(Tabulka1[[#This Row],[Jmeno bez mezer]]),"@firmaabc.cz")</f>
        <v>turek.petr@firmaabc.cz</v>
      </c>
      <c r="I192" s="2" t="str">
        <f>_xlfn.CONCAT(LOWER(LEFT(Tabulka1[[#This Row],[příjmení bez mezer]],3)),UPPER(RIGHT(Tabulka1[[#This Row],[Jmeno bez mezer]],2)))</f>
        <v>turTR</v>
      </c>
      <c r="J192" s="2" t="s">
        <v>1311</v>
      </c>
      <c r="K192" s="2" t="s">
        <v>1766</v>
      </c>
      <c r="L192" s="3" t="s">
        <v>2201</v>
      </c>
    </row>
    <row r="193" spans="1:12" x14ac:dyDescent="0.25">
      <c r="A193" s="2" t="s">
        <v>471</v>
      </c>
      <c r="B193" t="s">
        <v>160</v>
      </c>
      <c r="C193" t="s">
        <v>472</v>
      </c>
      <c r="D193" t="str">
        <f>TRIM(Tabulka1[[#This Row],[Jméno]])</f>
        <v>Jaroslava</v>
      </c>
      <c r="E193" t="str">
        <f>TRIM(Tabulka1[[#This Row],[Příjmení]])</f>
        <v>Gavendova</v>
      </c>
      <c r="F193" s="2" t="str">
        <f>MID(Tabulka1[[#This Row],[Adresa]],1,SEARCH(",",Tabulka1[[#This Row],[Adresa]])-1)</f>
        <v>Jičín 824</v>
      </c>
      <c r="G193" s="2" t="str">
        <f>RIGHT(Tabulka1[[#This Row],[Adresa]],LEN(Tabulka1[[#This Row],[Adresa]])-LEN(Tabulka1[[#This Row],[Ulice]])-1)</f>
        <v>Jicín 1</v>
      </c>
      <c r="H193" s="2" t="str">
        <f>_xlfn.CONCAT(LOWER(Tabulka1[[#This Row],[příjmení bez mezer]]),".",LOWER(Tabulka1[[#This Row],[Jmeno bez mezer]]),"@firmaabc.cz")</f>
        <v>gavendova.jaroslava@firmaabc.cz</v>
      </c>
      <c r="I193" s="2" t="str">
        <f>_xlfn.CONCAT(LOWER(LEFT(Tabulka1[[#This Row],[příjmení bez mezer]],3)),UPPER(RIGHT(Tabulka1[[#This Row],[Jmeno bez mezer]],2)))</f>
        <v>gavVA</v>
      </c>
      <c r="J193" s="2" t="s">
        <v>1312</v>
      </c>
      <c r="K193" s="2" t="s">
        <v>1754</v>
      </c>
      <c r="L193" s="3" t="s">
        <v>2202</v>
      </c>
    </row>
    <row r="194" spans="1:12" ht="30" x14ac:dyDescent="0.25">
      <c r="A194" s="2" t="s">
        <v>473</v>
      </c>
      <c r="B194" t="s">
        <v>82</v>
      </c>
      <c r="C194" t="s">
        <v>474</v>
      </c>
      <c r="D194" t="str">
        <f>TRIM(Tabulka1[[#This Row],[Jméno]])</f>
        <v>Katerina</v>
      </c>
      <c r="E194" t="str">
        <f>TRIM(Tabulka1[[#This Row],[Příjmení]])</f>
        <v>Machalkova</v>
      </c>
      <c r="F194" s="2" t="str">
        <f>MID(Tabulka1[[#This Row],[Adresa]],1,SEARCH(",",Tabulka1[[#This Row],[Adresa]])-1)</f>
        <v>Havlíčkova 710</v>
      </c>
      <c r="G194" s="2" t="str">
        <f>RIGHT(Tabulka1[[#This Row],[Adresa]],LEN(Tabulka1[[#This Row],[Adresa]])-LEN(Tabulka1[[#This Row],[Ulice]])-1)</f>
        <v>Kladno 3</v>
      </c>
      <c r="H194" s="2" t="str">
        <f>_xlfn.CONCAT(LOWER(Tabulka1[[#This Row],[příjmení bez mezer]]),".",LOWER(Tabulka1[[#This Row],[Jmeno bez mezer]]),"@firmaabc.cz")</f>
        <v>machalkova.katerina@firmaabc.cz</v>
      </c>
      <c r="I194" s="2" t="str">
        <f>_xlfn.CONCAT(LOWER(LEFT(Tabulka1[[#This Row],[příjmení bez mezer]],3)),UPPER(RIGHT(Tabulka1[[#This Row],[Jmeno bez mezer]],2)))</f>
        <v>macNA</v>
      </c>
      <c r="J194" s="2" t="s">
        <v>1313</v>
      </c>
      <c r="K194" s="2" t="s">
        <v>1791</v>
      </c>
      <c r="L194" s="3" t="s">
        <v>2203</v>
      </c>
    </row>
    <row r="195" spans="1:12" ht="30" x14ac:dyDescent="0.25">
      <c r="A195" s="2" t="s">
        <v>475</v>
      </c>
      <c r="B195" t="s">
        <v>42</v>
      </c>
      <c r="C195" t="s">
        <v>342</v>
      </c>
      <c r="D195" t="str">
        <f>TRIM(Tabulka1[[#This Row],[Jméno]])</f>
        <v>Marie</v>
      </c>
      <c r="E195" t="str">
        <f>TRIM(Tabulka1[[#This Row],[Příjmení]])</f>
        <v>Hlavata</v>
      </c>
      <c r="F195" s="2" t="str">
        <f>MID(Tabulka1[[#This Row],[Adresa]],1,SEARCH(",",Tabulka1[[#This Row],[Adresa]])-1)</f>
        <v>Družstevní 730</v>
      </c>
      <c r="G195" s="2" t="str">
        <f>RIGHT(Tabulka1[[#This Row],[Adresa]],LEN(Tabulka1[[#This Row],[Adresa]])-LEN(Tabulka1[[#This Row],[Ulice]])-1)</f>
        <v>Volduchy</v>
      </c>
      <c r="H195" s="2" t="str">
        <f>_xlfn.CONCAT(LOWER(Tabulka1[[#This Row],[příjmení bez mezer]]),".",LOWER(Tabulka1[[#This Row],[Jmeno bez mezer]]),"@firmaabc.cz")</f>
        <v>hlavata.marie@firmaabc.cz</v>
      </c>
      <c r="I195" s="2" t="str">
        <f>_xlfn.CONCAT(LOWER(LEFT(Tabulka1[[#This Row],[příjmení bez mezer]],3)),UPPER(RIGHT(Tabulka1[[#This Row],[Jmeno bez mezer]],2)))</f>
        <v>hlaIE</v>
      </c>
      <c r="J195" s="2" t="s">
        <v>1314</v>
      </c>
      <c r="K195" s="2" t="s">
        <v>1792</v>
      </c>
      <c r="L195" s="3" t="s">
        <v>2204</v>
      </c>
    </row>
    <row r="196" spans="1:12" x14ac:dyDescent="0.25">
      <c r="A196" s="2" t="s">
        <v>476</v>
      </c>
      <c r="B196" t="s">
        <v>217</v>
      </c>
      <c r="C196" t="s">
        <v>477</v>
      </c>
      <c r="D196" t="str">
        <f>TRIM(Tabulka1[[#This Row],[Jméno]])</f>
        <v>Marek</v>
      </c>
      <c r="E196" t="str">
        <f>TRIM(Tabulka1[[#This Row],[Příjmení]])</f>
        <v>Dvorak</v>
      </c>
      <c r="F196" s="2" t="str">
        <f>MID(Tabulka1[[#This Row],[Adresa]],1,SEARCH(",",Tabulka1[[#This Row],[Adresa]])-1)</f>
        <v>Lidická 938</v>
      </c>
      <c r="G196" s="2" t="str">
        <f>RIGHT(Tabulka1[[#This Row],[Adresa]],LEN(Tabulka1[[#This Row],[Adresa]])-LEN(Tabulka1[[#This Row],[Ulice]])-1)</f>
        <v>Provodín</v>
      </c>
      <c r="H196" s="2" t="str">
        <f>_xlfn.CONCAT(LOWER(Tabulka1[[#This Row],[příjmení bez mezer]]),".",LOWER(Tabulka1[[#This Row],[Jmeno bez mezer]]),"@firmaabc.cz")</f>
        <v>dvorak.marek@firmaabc.cz</v>
      </c>
      <c r="I196" s="2" t="str">
        <f>_xlfn.CONCAT(LOWER(LEFT(Tabulka1[[#This Row],[příjmení bez mezer]],3)),UPPER(RIGHT(Tabulka1[[#This Row],[Jmeno bez mezer]],2)))</f>
        <v>dvoEK</v>
      </c>
      <c r="J196" s="2" t="s">
        <v>1315</v>
      </c>
      <c r="K196" s="2" t="s">
        <v>1793</v>
      </c>
      <c r="L196" s="3" t="s">
        <v>2205</v>
      </c>
    </row>
    <row r="197" spans="1:12" ht="45" x14ac:dyDescent="0.25">
      <c r="A197" s="2" t="s">
        <v>478</v>
      </c>
      <c r="B197" t="s">
        <v>479</v>
      </c>
      <c r="C197" t="s">
        <v>480</v>
      </c>
      <c r="D197" t="str">
        <f>TRIM(Tabulka1[[#This Row],[Jméno]])</f>
        <v>Romana</v>
      </c>
      <c r="E197" t="str">
        <f>TRIM(Tabulka1[[#This Row],[Příjmení]])</f>
        <v>Prochazkova</v>
      </c>
      <c r="F197" s="2" t="str">
        <f>MID(Tabulka1[[#This Row],[Adresa]],1,SEARCH(",",Tabulka1[[#This Row],[Adresa]])-1)</f>
        <v>Za učilištěm 1699</v>
      </c>
      <c r="G197" s="2" t="str">
        <f>RIGHT(Tabulka1[[#This Row],[Adresa]],LEN(Tabulka1[[#This Row],[Adresa]])-LEN(Tabulka1[[#This Row],[Ulice]])-1)</f>
        <v>Bystrice nad Olší</v>
      </c>
      <c r="H197" s="2" t="str">
        <f>_xlfn.CONCAT(LOWER(Tabulka1[[#This Row],[příjmení bez mezer]]),".",LOWER(Tabulka1[[#This Row],[Jmeno bez mezer]]),"@firmaabc.cz")</f>
        <v>prochazkova.romana@firmaabc.cz</v>
      </c>
      <c r="I197" s="2" t="str">
        <f>_xlfn.CONCAT(LOWER(LEFT(Tabulka1[[#This Row],[příjmení bez mezer]],3)),UPPER(RIGHT(Tabulka1[[#This Row],[Jmeno bez mezer]],2)))</f>
        <v>proNA</v>
      </c>
      <c r="J197" s="2" t="s">
        <v>1316</v>
      </c>
      <c r="K197" s="2" t="s">
        <v>1794</v>
      </c>
      <c r="L197" s="3" t="s">
        <v>2206</v>
      </c>
    </row>
    <row r="198" spans="1:12" ht="30" x14ac:dyDescent="0.25">
      <c r="A198" s="2" t="s">
        <v>481</v>
      </c>
      <c r="B198" t="s">
        <v>170</v>
      </c>
      <c r="C198" t="s">
        <v>482</v>
      </c>
      <c r="D198" t="str">
        <f>TRIM(Tabulka1[[#This Row],[Jméno]])</f>
        <v>David</v>
      </c>
      <c r="E198" t="str">
        <f>TRIM(Tabulka1[[#This Row],[Příjmení]])</f>
        <v>Popovic</v>
      </c>
      <c r="F198" s="2" t="str">
        <f>MID(Tabulka1[[#This Row],[Adresa]],1,SEARCH(",",Tabulka1[[#This Row],[Adresa]])-1)</f>
        <v>Osnická 1325</v>
      </c>
      <c r="G198" s="2" t="str">
        <f>RIGHT(Tabulka1[[#This Row],[Adresa]],LEN(Tabulka1[[#This Row],[Adresa]])-LEN(Tabulka1[[#This Row],[Ulice]])-1)</f>
        <v>Praha 511</v>
      </c>
      <c r="H198" s="2" t="str">
        <f>_xlfn.CONCAT(LOWER(Tabulka1[[#This Row],[příjmení bez mezer]]),".",LOWER(Tabulka1[[#This Row],[Jmeno bez mezer]]),"@firmaabc.cz")</f>
        <v>popovic.david@firmaabc.cz</v>
      </c>
      <c r="I198" s="2" t="str">
        <f>_xlfn.CONCAT(LOWER(LEFT(Tabulka1[[#This Row],[příjmení bez mezer]],3)),UPPER(RIGHT(Tabulka1[[#This Row],[Jmeno bez mezer]],2)))</f>
        <v>popID</v>
      </c>
      <c r="J198" s="2" t="s">
        <v>1317</v>
      </c>
      <c r="K198" s="2" t="s">
        <v>1795</v>
      </c>
      <c r="L198" s="3" t="s">
        <v>2207</v>
      </c>
    </row>
    <row r="199" spans="1:12" ht="45" x14ac:dyDescent="0.25">
      <c r="A199" s="2" t="s">
        <v>483</v>
      </c>
      <c r="B199" t="s">
        <v>287</v>
      </c>
      <c r="C199" t="s">
        <v>264</v>
      </c>
      <c r="D199" t="str">
        <f>TRIM(Tabulka1[[#This Row],[Jméno]])</f>
        <v>Petr</v>
      </c>
      <c r="E199" t="str">
        <f>TRIM(Tabulka1[[#This Row],[Příjmení]])</f>
        <v>Horak</v>
      </c>
      <c r="F199" s="2" t="str">
        <f>MID(Tabulka1[[#This Row],[Adresa]],1,SEARCH(",",Tabulka1[[#This Row],[Adresa]])-1)</f>
        <v>Na Průhonu 657</v>
      </c>
      <c r="G199" s="2" t="str">
        <f>RIGHT(Tabulka1[[#This Row],[Adresa]],LEN(Tabulka1[[#This Row],[Adresa]])-LEN(Tabulka1[[#This Row],[Ulice]])-1)</f>
        <v>Mnichovo Hradište</v>
      </c>
      <c r="H199" s="2" t="str">
        <f>_xlfn.CONCAT(LOWER(Tabulka1[[#This Row],[příjmení bez mezer]]),".",LOWER(Tabulka1[[#This Row],[Jmeno bez mezer]]),"@firmaabc.cz")</f>
        <v>horak.petr@firmaabc.cz</v>
      </c>
      <c r="I199" s="2" t="str">
        <f>_xlfn.CONCAT(LOWER(LEFT(Tabulka1[[#This Row],[příjmení bez mezer]],3)),UPPER(RIGHT(Tabulka1[[#This Row],[Jmeno bez mezer]],2)))</f>
        <v>horTR</v>
      </c>
      <c r="J199" s="2" t="s">
        <v>1318</v>
      </c>
      <c r="K199" s="2" t="s">
        <v>1796</v>
      </c>
      <c r="L199" s="3" t="s">
        <v>2208</v>
      </c>
    </row>
    <row r="200" spans="1:12" ht="45" x14ac:dyDescent="0.25">
      <c r="A200" s="2" t="s">
        <v>484</v>
      </c>
      <c r="B200" t="s">
        <v>64</v>
      </c>
      <c r="C200" t="s">
        <v>287</v>
      </c>
      <c r="D200" t="str">
        <f>TRIM(Tabulka1[[#This Row],[Jméno]])</f>
        <v>Karel</v>
      </c>
      <c r="E200" t="str">
        <f>TRIM(Tabulka1[[#This Row],[Příjmení]])</f>
        <v>Petr</v>
      </c>
      <c r="F200" s="2" t="str">
        <f>MID(Tabulka1[[#This Row],[Adresa]],1,SEARCH(",",Tabulka1[[#This Row],[Adresa]])-1)</f>
        <v>Na Výsluní 806</v>
      </c>
      <c r="G200" s="2" t="str">
        <f>RIGHT(Tabulka1[[#This Row],[Adresa]],LEN(Tabulka1[[#This Row],[Adresa]])-LEN(Tabulka1[[#This Row],[Ulice]])-1)</f>
        <v>Planá u Mariánských Lázní</v>
      </c>
      <c r="H200" s="2" t="str">
        <f>_xlfn.CONCAT(LOWER(Tabulka1[[#This Row],[příjmení bez mezer]]),".",LOWER(Tabulka1[[#This Row],[Jmeno bez mezer]]),"@firmaabc.cz")</f>
        <v>petr.karel@firmaabc.cz</v>
      </c>
      <c r="I200" s="2" t="str">
        <f>_xlfn.CONCAT(LOWER(LEFT(Tabulka1[[#This Row],[příjmení bez mezer]],3)),UPPER(RIGHT(Tabulka1[[#This Row],[Jmeno bez mezer]],2)))</f>
        <v>petEL</v>
      </c>
      <c r="J200" s="2" t="s">
        <v>1319</v>
      </c>
      <c r="K200" s="2" t="s">
        <v>1797</v>
      </c>
      <c r="L200" s="3" t="s">
        <v>2209</v>
      </c>
    </row>
    <row r="201" spans="1:12" ht="30" x14ac:dyDescent="0.25">
      <c r="A201" s="2" t="s">
        <v>485</v>
      </c>
      <c r="B201" t="s">
        <v>88</v>
      </c>
      <c r="C201" t="s">
        <v>486</v>
      </c>
      <c r="D201" t="str">
        <f>TRIM(Tabulka1[[#This Row],[Jméno]])</f>
        <v>Pavel</v>
      </c>
      <c r="E201" t="str">
        <f>TRIM(Tabulka1[[#This Row],[Příjmení]])</f>
        <v>Linhart</v>
      </c>
      <c r="F201" s="2" t="str">
        <f>MID(Tabulka1[[#This Row],[Adresa]],1,SEARCH(",",Tabulka1[[#This Row],[Adresa]])-1)</f>
        <v>Mlýnská 1417</v>
      </c>
      <c r="G201" s="2" t="str">
        <f>RIGHT(Tabulka1[[#This Row],[Adresa]],LEN(Tabulka1[[#This Row],[Adresa]])-LEN(Tabulka1[[#This Row],[Ulice]])-1)</f>
        <v>Štíty</v>
      </c>
      <c r="H201" s="2" t="str">
        <f>_xlfn.CONCAT(LOWER(Tabulka1[[#This Row],[příjmení bez mezer]]),".",LOWER(Tabulka1[[#This Row],[Jmeno bez mezer]]),"@firmaabc.cz")</f>
        <v>linhart.pavel@firmaabc.cz</v>
      </c>
      <c r="I201" s="2" t="str">
        <f>_xlfn.CONCAT(LOWER(LEFT(Tabulka1[[#This Row],[příjmení bez mezer]],3)),UPPER(RIGHT(Tabulka1[[#This Row],[Jmeno bez mezer]],2)))</f>
        <v>linEL</v>
      </c>
      <c r="J201" s="2" t="s">
        <v>1320</v>
      </c>
      <c r="K201" s="2" t="s">
        <v>1798</v>
      </c>
      <c r="L201" s="3" t="s">
        <v>2210</v>
      </c>
    </row>
    <row r="202" spans="1:12" ht="30" x14ac:dyDescent="0.25">
      <c r="A202" s="2" t="s">
        <v>487</v>
      </c>
      <c r="B202" t="s">
        <v>24</v>
      </c>
      <c r="C202" t="s">
        <v>488</v>
      </c>
      <c r="D202" t="str">
        <f>TRIM(Tabulka1[[#This Row],[Jméno]])</f>
        <v>Jan</v>
      </c>
      <c r="E202" t="str">
        <f>TRIM(Tabulka1[[#This Row],[Příjmení]])</f>
        <v>Adam</v>
      </c>
      <c r="F202" s="2" t="str">
        <f>MID(Tabulka1[[#This Row],[Adresa]],1,SEARCH(",",Tabulka1[[#This Row],[Adresa]])-1)</f>
        <v>Partyzánská 450</v>
      </c>
      <c r="G202" s="2" t="str">
        <f>RIGHT(Tabulka1[[#This Row],[Adresa]],LEN(Tabulka1[[#This Row],[Adresa]])-LEN(Tabulka1[[#This Row],[Ulice]])-1)</f>
        <v>Jaromer 1</v>
      </c>
      <c r="H202" s="2" t="str">
        <f>_xlfn.CONCAT(LOWER(Tabulka1[[#This Row],[příjmení bez mezer]]),".",LOWER(Tabulka1[[#This Row],[Jmeno bez mezer]]),"@firmaabc.cz")</f>
        <v>adam.jan@firmaabc.cz</v>
      </c>
      <c r="I202" s="2" t="str">
        <f>_xlfn.CONCAT(LOWER(LEFT(Tabulka1[[#This Row],[příjmení bez mezer]],3)),UPPER(RIGHT(Tabulka1[[#This Row],[Jmeno bez mezer]],2)))</f>
        <v>adaAN</v>
      </c>
      <c r="J202" s="2" t="s">
        <v>1321</v>
      </c>
      <c r="K202" s="2" t="s">
        <v>1799</v>
      </c>
      <c r="L202" s="3" t="s">
        <v>2211</v>
      </c>
    </row>
    <row r="203" spans="1:12" ht="30" x14ac:dyDescent="0.25">
      <c r="A203" s="2" t="s">
        <v>489</v>
      </c>
      <c r="B203" t="s">
        <v>91</v>
      </c>
      <c r="C203" t="s">
        <v>490</v>
      </c>
      <c r="D203" t="str">
        <f>TRIM(Tabulka1[[#This Row],[Jméno]])</f>
        <v>Vera</v>
      </c>
      <c r="E203" t="str">
        <f>TRIM(Tabulka1[[#This Row],[Příjmení]])</f>
        <v>Cardova</v>
      </c>
      <c r="F203" s="2" t="str">
        <f>MID(Tabulka1[[#This Row],[Adresa]],1,SEARCH(",",Tabulka1[[#This Row],[Adresa]])-1)</f>
        <v>Havlíčkova 396</v>
      </c>
      <c r="G203" s="2" t="str">
        <f>RIGHT(Tabulka1[[#This Row],[Adresa]],LEN(Tabulka1[[#This Row],[Adresa]])-LEN(Tabulka1[[#This Row],[Ulice]])-1)</f>
        <v>Most 1</v>
      </c>
      <c r="H203" s="2" t="str">
        <f>_xlfn.CONCAT(LOWER(Tabulka1[[#This Row],[příjmení bez mezer]]),".",LOWER(Tabulka1[[#This Row],[Jmeno bez mezer]]),"@firmaabc.cz")</f>
        <v>cardova.vera@firmaabc.cz</v>
      </c>
      <c r="I203" s="2" t="str">
        <f>_xlfn.CONCAT(LOWER(LEFT(Tabulka1[[#This Row],[příjmení bez mezer]],3)),UPPER(RIGHT(Tabulka1[[#This Row],[Jmeno bez mezer]],2)))</f>
        <v>carRA</v>
      </c>
      <c r="J203" s="2" t="s">
        <v>1322</v>
      </c>
      <c r="K203" s="2" t="s">
        <v>1800</v>
      </c>
      <c r="L203" s="3" t="s">
        <v>2212</v>
      </c>
    </row>
    <row r="204" spans="1:12" ht="45" x14ac:dyDescent="0.25">
      <c r="A204" s="2" t="s">
        <v>491</v>
      </c>
      <c r="B204" t="s">
        <v>36</v>
      </c>
      <c r="C204" t="s">
        <v>492</v>
      </c>
      <c r="D204" t="str">
        <f>TRIM(Tabulka1[[#This Row],[Jméno]])</f>
        <v>Miroslava</v>
      </c>
      <c r="E204" t="str">
        <f>TRIM(Tabulka1[[#This Row],[Příjmení]])</f>
        <v>Kocourkova</v>
      </c>
      <c r="F204" s="2" t="str">
        <f>MID(Tabulka1[[#This Row],[Adresa]],1,SEARCH(",",Tabulka1[[#This Row],[Adresa]])-1)</f>
        <v>Jana Šťastného 1374</v>
      </c>
      <c r="G204" s="2" t="str">
        <f>RIGHT(Tabulka1[[#This Row],[Adresa]],LEN(Tabulka1[[#This Row],[Adresa]])-LEN(Tabulka1[[#This Row],[Ulice]])-1)</f>
        <v>Mníšek pod Brdy</v>
      </c>
      <c r="H204" s="2" t="str">
        <f>_xlfn.CONCAT(LOWER(Tabulka1[[#This Row],[příjmení bez mezer]]),".",LOWER(Tabulka1[[#This Row],[Jmeno bez mezer]]),"@firmaabc.cz")</f>
        <v>kocourkova.miroslava@firmaabc.cz</v>
      </c>
      <c r="I204" s="2" t="str">
        <f>_xlfn.CONCAT(LOWER(LEFT(Tabulka1[[#This Row],[příjmení bez mezer]],3)),UPPER(RIGHT(Tabulka1[[#This Row],[Jmeno bez mezer]],2)))</f>
        <v>kocVA</v>
      </c>
      <c r="J204" s="2" t="s">
        <v>1323</v>
      </c>
      <c r="K204" s="2" t="s">
        <v>1801</v>
      </c>
      <c r="L204" s="3" t="s">
        <v>2213</v>
      </c>
    </row>
    <row r="205" spans="1:12" ht="30" x14ac:dyDescent="0.25">
      <c r="A205" s="2" t="s">
        <v>493</v>
      </c>
      <c r="B205" t="s">
        <v>138</v>
      </c>
      <c r="C205" t="s">
        <v>494</v>
      </c>
      <c r="D205" t="str">
        <f>TRIM(Tabulka1[[#This Row],[Jméno]])</f>
        <v>Iveta</v>
      </c>
      <c r="E205" t="str">
        <f>TRIM(Tabulka1[[#This Row],[Příjmení]])</f>
        <v>Novotna</v>
      </c>
      <c r="F205" s="2" t="str">
        <f>MID(Tabulka1[[#This Row],[Adresa]],1,SEARCH(",",Tabulka1[[#This Row],[Adresa]])-1)</f>
        <v>Strojírenská 360</v>
      </c>
      <c r="G205" s="2" t="str">
        <f>RIGHT(Tabulka1[[#This Row],[Adresa]],LEN(Tabulka1[[#This Row],[Adresa]])-LEN(Tabulka1[[#This Row],[Ulice]])-1)</f>
        <v>Svratka</v>
      </c>
      <c r="H205" s="2" t="str">
        <f>_xlfn.CONCAT(LOWER(Tabulka1[[#This Row],[příjmení bez mezer]]),".",LOWER(Tabulka1[[#This Row],[Jmeno bez mezer]]),"@firmaabc.cz")</f>
        <v>novotna.iveta@firmaabc.cz</v>
      </c>
      <c r="I205" s="2" t="str">
        <f>_xlfn.CONCAT(LOWER(LEFT(Tabulka1[[#This Row],[příjmení bez mezer]],3)),UPPER(RIGHT(Tabulka1[[#This Row],[Jmeno bez mezer]],2)))</f>
        <v>novTA</v>
      </c>
      <c r="J205" s="2" t="s">
        <v>1324</v>
      </c>
      <c r="K205" s="2" t="s">
        <v>1802</v>
      </c>
      <c r="L205" s="3" t="s">
        <v>2214</v>
      </c>
    </row>
    <row r="206" spans="1:12" ht="30" x14ac:dyDescent="0.25">
      <c r="A206" s="2" t="s">
        <v>495</v>
      </c>
      <c r="B206" t="s">
        <v>30</v>
      </c>
      <c r="C206" t="s">
        <v>441</v>
      </c>
      <c r="D206" t="str">
        <f>TRIM(Tabulka1[[#This Row],[Jméno]])</f>
        <v>Michal</v>
      </c>
      <c r="E206" t="str">
        <f>TRIM(Tabulka1[[#This Row],[Příjmení]])</f>
        <v>Kulhanek</v>
      </c>
      <c r="F206" s="2" t="str">
        <f>MID(Tabulka1[[#This Row],[Adresa]],1,SEARCH(",",Tabulka1[[#This Row],[Adresa]])-1)</f>
        <v>Poštovní 672</v>
      </c>
      <c r="G206" s="2" t="str">
        <f>RIGHT(Tabulka1[[#This Row],[Adresa]],LEN(Tabulka1[[#This Row],[Adresa]])-LEN(Tabulka1[[#This Row],[Ulice]])-1)</f>
        <v>Skalsko</v>
      </c>
      <c r="H206" s="2" t="str">
        <f>_xlfn.CONCAT(LOWER(Tabulka1[[#This Row],[příjmení bez mezer]]),".",LOWER(Tabulka1[[#This Row],[Jmeno bez mezer]]),"@firmaabc.cz")</f>
        <v>kulhanek.michal@firmaabc.cz</v>
      </c>
      <c r="I206" s="2" t="str">
        <f>_xlfn.CONCAT(LOWER(LEFT(Tabulka1[[#This Row],[příjmení bez mezer]],3)),UPPER(RIGHT(Tabulka1[[#This Row],[Jmeno bez mezer]],2)))</f>
        <v>kulAL</v>
      </c>
      <c r="J206" s="2" t="s">
        <v>1325</v>
      </c>
      <c r="K206" s="2" t="s">
        <v>1803</v>
      </c>
      <c r="L206" s="3" t="s">
        <v>2215</v>
      </c>
    </row>
    <row r="207" spans="1:12" ht="45" x14ac:dyDescent="0.25">
      <c r="A207" s="2" t="s">
        <v>496</v>
      </c>
      <c r="B207" t="s">
        <v>497</v>
      </c>
      <c r="C207" t="s">
        <v>498</v>
      </c>
      <c r="D207" t="str">
        <f>TRIM(Tabulka1[[#This Row],[Jméno]])</f>
        <v>Emil</v>
      </c>
      <c r="E207" t="str">
        <f>TRIM(Tabulka1[[#This Row],[Příjmení]])</f>
        <v>Knizek</v>
      </c>
      <c r="F207" s="2" t="str">
        <f>MID(Tabulka1[[#This Row],[Adresa]],1,SEARCH(",",Tabulka1[[#This Row],[Adresa]])-1)</f>
        <v>V Trávníkách 1784</v>
      </c>
      <c r="G207" s="2" t="str">
        <f>RIGHT(Tabulka1[[#This Row],[Adresa]],LEN(Tabulka1[[#This Row],[Adresa]])-LEN(Tabulka1[[#This Row],[Ulice]])-1)</f>
        <v>Tanvald</v>
      </c>
      <c r="H207" s="2" t="str">
        <f>_xlfn.CONCAT(LOWER(Tabulka1[[#This Row],[příjmení bez mezer]]),".",LOWER(Tabulka1[[#This Row],[Jmeno bez mezer]]),"@firmaabc.cz")</f>
        <v>knizek.emil@firmaabc.cz</v>
      </c>
      <c r="I207" s="2" t="str">
        <f>_xlfn.CONCAT(LOWER(LEFT(Tabulka1[[#This Row],[příjmení bez mezer]],3)),UPPER(RIGHT(Tabulka1[[#This Row],[Jmeno bez mezer]],2)))</f>
        <v>kniIL</v>
      </c>
      <c r="J207" s="2" t="s">
        <v>1326</v>
      </c>
      <c r="K207" s="2" t="s">
        <v>1690</v>
      </c>
      <c r="L207" s="3" t="s">
        <v>2216</v>
      </c>
    </row>
    <row r="208" spans="1:12" ht="45" x14ac:dyDescent="0.25">
      <c r="A208" s="2" t="s">
        <v>499</v>
      </c>
      <c r="B208" t="s">
        <v>263</v>
      </c>
      <c r="C208" t="s">
        <v>500</v>
      </c>
      <c r="D208" t="str">
        <f>TRIM(Tabulka1[[#This Row],[Jméno]])</f>
        <v>Robert</v>
      </c>
      <c r="E208" t="str">
        <f>TRIM(Tabulka1[[#This Row],[Příjmení]])</f>
        <v>Kubala</v>
      </c>
      <c r="F208" s="2" t="str">
        <f>MID(Tabulka1[[#This Row],[Adresa]],1,SEARCH(",",Tabulka1[[#This Row],[Adresa]])-1)</f>
        <v>Žižkova 1286</v>
      </c>
      <c r="G208" s="2" t="str">
        <f>RIGHT(Tabulka1[[#This Row],[Adresa]],LEN(Tabulka1[[#This Row],[Adresa]])-LEN(Tabulka1[[#This Row],[Ulice]])-1)</f>
        <v>Klenovice na Hané</v>
      </c>
      <c r="H208" s="2" t="str">
        <f>_xlfn.CONCAT(LOWER(Tabulka1[[#This Row],[příjmení bez mezer]]),".",LOWER(Tabulka1[[#This Row],[Jmeno bez mezer]]),"@firmaabc.cz")</f>
        <v>kubala.robert@firmaabc.cz</v>
      </c>
      <c r="I208" s="2" t="str">
        <f>_xlfn.CONCAT(LOWER(LEFT(Tabulka1[[#This Row],[příjmení bez mezer]],3)),UPPER(RIGHT(Tabulka1[[#This Row],[Jmeno bez mezer]],2)))</f>
        <v>kubRT</v>
      </c>
      <c r="J208" s="2" t="s">
        <v>1327</v>
      </c>
      <c r="K208" s="2" t="s">
        <v>1804</v>
      </c>
      <c r="L208" s="3" t="s">
        <v>2217</v>
      </c>
    </row>
    <row r="209" spans="1:12" ht="30" x14ac:dyDescent="0.25">
      <c r="A209" s="2" t="s">
        <v>501</v>
      </c>
      <c r="B209" t="s">
        <v>263</v>
      </c>
      <c r="C209" t="s">
        <v>332</v>
      </c>
      <c r="D209" t="str">
        <f>TRIM(Tabulka1[[#This Row],[Jméno]])</f>
        <v>Robert</v>
      </c>
      <c r="E209" t="str">
        <f>TRIM(Tabulka1[[#This Row],[Příjmení]])</f>
        <v>?Prochazka</v>
      </c>
      <c r="F209" s="2" t="str">
        <f>MID(Tabulka1[[#This Row],[Adresa]],1,SEARCH(",",Tabulka1[[#This Row],[Adresa]])-1)</f>
        <v>Nezvalova 287</v>
      </c>
      <c r="G209" s="2" t="str">
        <f>RIGHT(Tabulka1[[#This Row],[Adresa]],LEN(Tabulka1[[#This Row],[Adresa]])-LEN(Tabulka1[[#This Row],[Ulice]])-1)</f>
        <v>Jankov</v>
      </c>
      <c r="H209" s="2" t="str">
        <f>_xlfn.CONCAT(LOWER(Tabulka1[[#This Row],[příjmení bez mezer]]),".",LOWER(Tabulka1[[#This Row],[Jmeno bez mezer]]),"@firmaabc.cz")</f>
        <v>?prochazka.robert@firmaabc.cz</v>
      </c>
      <c r="I209" s="2" t="str">
        <f>_xlfn.CONCAT(LOWER(LEFT(Tabulka1[[#This Row],[příjmení bez mezer]],3)),UPPER(RIGHT(Tabulka1[[#This Row],[Jmeno bez mezer]],2)))</f>
        <v>?prRT</v>
      </c>
      <c r="J209" s="2" t="s">
        <v>1328</v>
      </c>
      <c r="K209" s="2" t="s">
        <v>1805</v>
      </c>
      <c r="L209" s="3" t="s">
        <v>2218</v>
      </c>
    </row>
    <row r="210" spans="1:12" ht="30" x14ac:dyDescent="0.25">
      <c r="A210" s="2" t="s">
        <v>502</v>
      </c>
      <c r="B210" t="s">
        <v>503</v>
      </c>
      <c r="C210" t="s">
        <v>504</v>
      </c>
      <c r="D210" t="str">
        <f>TRIM(Tabulka1[[#This Row],[Jméno]])</f>
        <v>Petra</v>
      </c>
      <c r="E210" t="str">
        <f>TRIM(Tabulka1[[#This Row],[Příjmení]])</f>
        <v>Capkova</v>
      </c>
      <c r="F210" s="2" t="str">
        <f>MID(Tabulka1[[#This Row],[Adresa]],1,SEARCH(",",Tabulka1[[#This Row],[Adresa]])-1)</f>
        <v>Masarykova 30</v>
      </c>
      <c r="G210" s="2" t="str">
        <f>RIGHT(Tabulka1[[#This Row],[Adresa]],LEN(Tabulka1[[#This Row],[Adresa]])-LEN(Tabulka1[[#This Row],[Ulice]])-1)</f>
        <v>Humpolec</v>
      </c>
      <c r="H210" s="2" t="str">
        <f>_xlfn.CONCAT(LOWER(Tabulka1[[#This Row],[příjmení bez mezer]]),".",LOWER(Tabulka1[[#This Row],[Jmeno bez mezer]]),"@firmaabc.cz")</f>
        <v>capkova.petra@firmaabc.cz</v>
      </c>
      <c r="I210" s="2" t="str">
        <f>_xlfn.CONCAT(LOWER(LEFT(Tabulka1[[#This Row],[příjmení bez mezer]],3)),UPPER(RIGHT(Tabulka1[[#This Row],[Jmeno bez mezer]],2)))</f>
        <v>capRA</v>
      </c>
      <c r="J210" s="2" t="s">
        <v>1329</v>
      </c>
      <c r="K210" s="2" t="s">
        <v>1806</v>
      </c>
      <c r="L210" s="3" t="s">
        <v>2219</v>
      </c>
    </row>
    <row r="211" spans="1:12" ht="30" x14ac:dyDescent="0.25">
      <c r="A211" s="2" t="s">
        <v>505</v>
      </c>
      <c r="B211" t="s">
        <v>506</v>
      </c>
      <c r="C211" t="s">
        <v>507</v>
      </c>
      <c r="D211" t="str">
        <f>TRIM(Tabulka1[[#This Row],[Jméno]])</f>
        <v>Ivan</v>
      </c>
      <c r="E211" t="str">
        <f>TRIM(Tabulka1[[#This Row],[Příjmení]])</f>
        <v>Broz</v>
      </c>
      <c r="F211" s="2" t="str">
        <f>MID(Tabulka1[[#This Row],[Adresa]],1,SEARCH(",",Tabulka1[[#This Row],[Adresa]])-1)</f>
        <v>Na Výsluní 150</v>
      </c>
      <c r="G211" s="2" t="str">
        <f>RIGHT(Tabulka1[[#This Row],[Adresa]],LEN(Tabulka1[[#This Row],[Adresa]])-LEN(Tabulka1[[#This Row],[Ulice]])-1)</f>
        <v>Jistebnice</v>
      </c>
      <c r="H211" s="2" t="str">
        <f>_xlfn.CONCAT(LOWER(Tabulka1[[#This Row],[příjmení bez mezer]]),".",LOWER(Tabulka1[[#This Row],[Jmeno bez mezer]]),"@firmaabc.cz")</f>
        <v>broz.ivan@firmaabc.cz</v>
      </c>
      <c r="I211" s="2" t="str">
        <f>_xlfn.CONCAT(LOWER(LEFT(Tabulka1[[#This Row],[příjmení bez mezer]],3)),UPPER(RIGHT(Tabulka1[[#This Row],[Jmeno bez mezer]],2)))</f>
        <v>broAN</v>
      </c>
      <c r="J211" s="2" t="s">
        <v>1330</v>
      </c>
      <c r="K211" s="2" t="s">
        <v>1807</v>
      </c>
      <c r="L211" s="3" t="s">
        <v>2220</v>
      </c>
    </row>
    <row r="212" spans="1:12" ht="30" x14ac:dyDescent="0.25">
      <c r="A212" s="2" t="s">
        <v>508</v>
      </c>
      <c r="B212" t="s">
        <v>509</v>
      </c>
      <c r="C212" t="s">
        <v>510</v>
      </c>
      <c r="D212" t="str">
        <f>TRIM(Tabulka1[[#This Row],[Jméno]])</f>
        <v>Sylvie</v>
      </c>
      <c r="E212" t="str">
        <f>TRIM(Tabulka1[[#This Row],[Příjmení]])</f>
        <v>Medkova</v>
      </c>
      <c r="F212" s="2" t="str">
        <f>MID(Tabulka1[[#This Row],[Adresa]],1,SEARCH(",",Tabulka1[[#This Row],[Adresa]])-1)</f>
        <v>Havlíčkova 1420</v>
      </c>
      <c r="G212" s="2" t="str">
        <f>RIGHT(Tabulka1[[#This Row],[Adresa]],LEN(Tabulka1[[#This Row],[Adresa]])-LEN(Tabulka1[[#This Row],[Ulice]])-1)</f>
        <v>Petipsy</v>
      </c>
      <c r="H212" s="2" t="str">
        <f>_xlfn.CONCAT(LOWER(Tabulka1[[#This Row],[příjmení bez mezer]]),".",LOWER(Tabulka1[[#This Row],[Jmeno bez mezer]]),"@firmaabc.cz")</f>
        <v>medkova.sylvie@firmaabc.cz</v>
      </c>
      <c r="I212" s="2" t="str">
        <f>_xlfn.CONCAT(LOWER(LEFT(Tabulka1[[#This Row],[příjmení bez mezer]],3)),UPPER(RIGHT(Tabulka1[[#This Row],[Jmeno bez mezer]],2)))</f>
        <v>medIE</v>
      </c>
      <c r="J212" s="2" t="s">
        <v>1331</v>
      </c>
      <c r="K212" s="2" t="s">
        <v>1808</v>
      </c>
      <c r="L212" s="3" t="s">
        <v>2221</v>
      </c>
    </row>
    <row r="213" spans="1:12" ht="30" x14ac:dyDescent="0.25">
      <c r="A213" s="2" t="s">
        <v>511</v>
      </c>
      <c r="B213" t="s">
        <v>440</v>
      </c>
      <c r="C213" t="s">
        <v>512</v>
      </c>
      <c r="D213" t="str">
        <f>TRIM(Tabulka1[[#This Row],[Jméno]])</f>
        <v>Ludek</v>
      </c>
      <c r="E213" t="str">
        <f>TRIM(Tabulka1[[#This Row],[Příjmení]])</f>
        <v>Spevacek</v>
      </c>
      <c r="F213" s="2" t="str">
        <f>MID(Tabulka1[[#This Row],[Adresa]],1,SEARCH(",",Tabulka1[[#This Row],[Adresa]])-1)</f>
        <v>Družstevní 674</v>
      </c>
      <c r="G213" s="2" t="str">
        <f>RIGHT(Tabulka1[[#This Row],[Adresa]],LEN(Tabulka1[[#This Row],[Adresa]])-LEN(Tabulka1[[#This Row],[Ulice]])-1)</f>
        <v>Zbiroh</v>
      </c>
      <c r="H213" s="2" t="str">
        <f>_xlfn.CONCAT(LOWER(Tabulka1[[#This Row],[příjmení bez mezer]]),".",LOWER(Tabulka1[[#This Row],[Jmeno bez mezer]]),"@firmaabc.cz")</f>
        <v>spevacek.ludek@firmaabc.cz</v>
      </c>
      <c r="I213" s="2" t="str">
        <f>_xlfn.CONCAT(LOWER(LEFT(Tabulka1[[#This Row],[příjmení bez mezer]],3)),UPPER(RIGHT(Tabulka1[[#This Row],[Jmeno bez mezer]],2)))</f>
        <v>speEK</v>
      </c>
      <c r="J213" s="2" t="s">
        <v>1332</v>
      </c>
      <c r="K213" s="2" t="s">
        <v>1726</v>
      </c>
      <c r="L213" s="3" t="s">
        <v>2222</v>
      </c>
    </row>
    <row r="214" spans="1:12" ht="30" x14ac:dyDescent="0.25">
      <c r="A214" s="2" t="s">
        <v>513</v>
      </c>
      <c r="B214" t="s">
        <v>410</v>
      </c>
      <c r="C214" t="s">
        <v>166</v>
      </c>
      <c r="D214" t="str">
        <f>TRIM(Tabulka1[[#This Row],[Jméno]])</f>
        <v>Michaela</v>
      </c>
      <c r="E214" t="str">
        <f>TRIM(Tabulka1[[#This Row],[Příjmení]])</f>
        <v>Soukupova</v>
      </c>
      <c r="F214" s="2" t="str">
        <f>MID(Tabulka1[[#This Row],[Adresa]],1,SEARCH(",",Tabulka1[[#This Row],[Adresa]])-1)</f>
        <v>U divadla 612</v>
      </c>
      <c r="G214" s="2" t="str">
        <f>RIGHT(Tabulka1[[#This Row],[Adresa]],LEN(Tabulka1[[#This Row],[Adresa]])-LEN(Tabulka1[[#This Row],[Ulice]])-1)</f>
        <v>Hrobce</v>
      </c>
      <c r="H214" s="2" t="str">
        <f>_xlfn.CONCAT(LOWER(Tabulka1[[#This Row],[příjmení bez mezer]]),".",LOWER(Tabulka1[[#This Row],[Jmeno bez mezer]]),"@firmaabc.cz")</f>
        <v>soukupova.michaela@firmaabc.cz</v>
      </c>
      <c r="I214" s="2" t="str">
        <f>_xlfn.CONCAT(LOWER(LEFT(Tabulka1[[#This Row],[příjmení bez mezer]],3)),UPPER(RIGHT(Tabulka1[[#This Row],[Jmeno bez mezer]],2)))</f>
        <v>souLA</v>
      </c>
      <c r="J214" s="2" t="s">
        <v>1333</v>
      </c>
      <c r="K214" s="2" t="s">
        <v>1809</v>
      </c>
      <c r="L214" s="3" t="s">
        <v>2223</v>
      </c>
    </row>
    <row r="215" spans="1:12" ht="30" x14ac:dyDescent="0.25">
      <c r="A215" s="2" t="s">
        <v>514</v>
      </c>
      <c r="B215" t="s">
        <v>91</v>
      </c>
      <c r="C215" t="s">
        <v>515</v>
      </c>
      <c r="D215" t="str">
        <f>TRIM(Tabulka1[[#This Row],[Jméno]])</f>
        <v>Vera</v>
      </c>
      <c r="E215" t="str">
        <f>TRIM(Tabulka1[[#This Row],[Příjmení]])</f>
        <v>Kamenikova</v>
      </c>
      <c r="F215" s="2" t="str">
        <f>MID(Tabulka1[[#This Row],[Adresa]],1,SEARCH(",",Tabulka1[[#This Row],[Adresa]])-1)</f>
        <v>K Pazderně 32</v>
      </c>
      <c r="G215" s="2" t="str">
        <f>RIGHT(Tabulka1[[#This Row],[Adresa]],LEN(Tabulka1[[#This Row],[Adresa]])-LEN(Tabulka1[[#This Row],[Ulice]])-1)</f>
        <v>Vlašim</v>
      </c>
      <c r="H215" s="2" t="str">
        <f>_xlfn.CONCAT(LOWER(Tabulka1[[#This Row],[příjmení bez mezer]]),".",LOWER(Tabulka1[[#This Row],[Jmeno bez mezer]]),"@firmaabc.cz")</f>
        <v>kamenikova.vera@firmaabc.cz</v>
      </c>
      <c r="I215" s="2" t="str">
        <f>_xlfn.CONCAT(LOWER(LEFT(Tabulka1[[#This Row],[příjmení bez mezer]],3)),UPPER(RIGHT(Tabulka1[[#This Row],[Jmeno bez mezer]],2)))</f>
        <v>kamRA</v>
      </c>
      <c r="J215" s="2" t="s">
        <v>1334</v>
      </c>
      <c r="K215" s="2" t="s">
        <v>1661</v>
      </c>
      <c r="L215" s="3" t="s">
        <v>2224</v>
      </c>
    </row>
    <row r="216" spans="1:12" ht="30" x14ac:dyDescent="0.25">
      <c r="A216" s="2" t="s">
        <v>516</v>
      </c>
      <c r="B216" t="s">
        <v>15</v>
      </c>
      <c r="C216" t="s">
        <v>517</v>
      </c>
      <c r="D216" t="str">
        <f>TRIM(Tabulka1[[#This Row],[Jméno]])</f>
        <v>Vladimir</v>
      </c>
      <c r="E216" t="str">
        <f>TRIM(Tabulka1[[#This Row],[Příjmení]])</f>
        <v>Slavik</v>
      </c>
      <c r="F216" s="2" t="str">
        <f>MID(Tabulka1[[#This Row],[Adresa]],1,SEARCH(",",Tabulka1[[#This Row],[Adresa]])-1)</f>
        <v>Americká 1270</v>
      </c>
      <c r="G216" s="2" t="str">
        <f>RIGHT(Tabulka1[[#This Row],[Adresa]],LEN(Tabulka1[[#This Row],[Adresa]])-LEN(Tabulka1[[#This Row],[Ulice]])-1)</f>
        <v>Kdyne</v>
      </c>
      <c r="H216" s="2" t="str">
        <f>_xlfn.CONCAT(LOWER(Tabulka1[[#This Row],[příjmení bez mezer]]),".",LOWER(Tabulka1[[#This Row],[Jmeno bez mezer]]),"@firmaabc.cz")</f>
        <v>slavik.vladimir@firmaabc.cz</v>
      </c>
      <c r="I216" s="2" t="str">
        <f>_xlfn.CONCAT(LOWER(LEFT(Tabulka1[[#This Row],[příjmení bez mezer]],3)),UPPER(RIGHT(Tabulka1[[#This Row],[Jmeno bez mezer]],2)))</f>
        <v>slaIR</v>
      </c>
      <c r="J216" s="2" t="s">
        <v>1335</v>
      </c>
      <c r="K216" s="2" t="s">
        <v>1662</v>
      </c>
      <c r="L216" s="3" t="s">
        <v>2225</v>
      </c>
    </row>
    <row r="217" spans="1:12" ht="30" x14ac:dyDescent="0.25">
      <c r="A217" s="2" t="s">
        <v>518</v>
      </c>
      <c r="B217" t="s">
        <v>519</v>
      </c>
      <c r="C217" t="s">
        <v>520</v>
      </c>
      <c r="D217" t="str">
        <f>TRIM(Tabulka1[[#This Row],[Jméno]])</f>
        <v>Eliska</v>
      </c>
      <c r="E217" t="str">
        <f>TRIM(Tabulka1[[#This Row],[Příjmení]])</f>
        <v>Frantova</v>
      </c>
      <c r="F217" s="2" t="str">
        <f>MID(Tabulka1[[#This Row],[Adresa]],1,SEARCH(",",Tabulka1[[#This Row],[Adresa]])-1)</f>
        <v>Sokolovská 28</v>
      </c>
      <c r="G217" s="2" t="str">
        <f>RIGHT(Tabulka1[[#This Row],[Adresa]],LEN(Tabulka1[[#This Row],[Adresa]])-LEN(Tabulka1[[#This Row],[Ulice]])-1)</f>
        <v>Bruntál 1</v>
      </c>
      <c r="H217" s="2" t="str">
        <f>_xlfn.CONCAT(LOWER(Tabulka1[[#This Row],[příjmení bez mezer]]),".",LOWER(Tabulka1[[#This Row],[Jmeno bez mezer]]),"@firmaabc.cz")</f>
        <v>frantova.eliska@firmaabc.cz</v>
      </c>
      <c r="I217" s="2" t="str">
        <f>_xlfn.CONCAT(LOWER(LEFT(Tabulka1[[#This Row],[příjmení bez mezer]],3)),UPPER(RIGHT(Tabulka1[[#This Row],[Jmeno bez mezer]],2)))</f>
        <v>fraKA</v>
      </c>
      <c r="J217" s="2" t="s">
        <v>1336</v>
      </c>
      <c r="K217" s="2" t="s">
        <v>1810</v>
      </c>
      <c r="L217" s="3" t="s">
        <v>2226</v>
      </c>
    </row>
    <row r="218" spans="1:12" ht="30" x14ac:dyDescent="0.25">
      <c r="A218" s="2" t="s">
        <v>521</v>
      </c>
      <c r="B218" t="s">
        <v>324</v>
      </c>
      <c r="C218" t="s">
        <v>522</v>
      </c>
      <c r="D218" t="str">
        <f>TRIM(Tabulka1[[#This Row],[Jméno]])</f>
        <v>Milan</v>
      </c>
      <c r="E218" t="str">
        <f>TRIM(Tabulka1[[#This Row],[Příjmení]])</f>
        <v>Hartmann</v>
      </c>
      <c r="F218" s="2" t="str">
        <f>MID(Tabulka1[[#This Row],[Adresa]],1,SEARCH(",",Tabulka1[[#This Row],[Adresa]])-1)</f>
        <v>Sokolská 259</v>
      </c>
      <c r="G218" s="2" t="str">
        <f>RIGHT(Tabulka1[[#This Row],[Adresa]],LEN(Tabulka1[[#This Row],[Adresa]])-LEN(Tabulka1[[#This Row],[Ulice]])-1)</f>
        <v>Bobnice</v>
      </c>
      <c r="H218" s="2" t="str">
        <f>_xlfn.CONCAT(LOWER(Tabulka1[[#This Row],[příjmení bez mezer]]),".",LOWER(Tabulka1[[#This Row],[Jmeno bez mezer]]),"@firmaabc.cz")</f>
        <v>hartmann.milan@firmaabc.cz</v>
      </c>
      <c r="I218" s="2" t="str">
        <f>_xlfn.CONCAT(LOWER(LEFT(Tabulka1[[#This Row],[příjmení bez mezer]],3)),UPPER(RIGHT(Tabulka1[[#This Row],[Jmeno bez mezer]],2)))</f>
        <v>harAN</v>
      </c>
      <c r="J218" s="2" t="s">
        <v>1337</v>
      </c>
      <c r="K218" s="2" t="s">
        <v>1811</v>
      </c>
      <c r="L218" s="3" t="s">
        <v>2227</v>
      </c>
    </row>
    <row r="219" spans="1:12" ht="30" x14ac:dyDescent="0.25">
      <c r="A219" s="2" t="s">
        <v>523</v>
      </c>
      <c r="B219" t="s">
        <v>524</v>
      </c>
      <c r="C219" t="s">
        <v>525</v>
      </c>
      <c r="D219" t="str">
        <f>TRIM(Tabulka1[[#This Row],[Jméno]])</f>
        <v>Christian</v>
      </c>
      <c r="E219" t="str">
        <f>TRIM(Tabulka1[[#This Row],[Příjmení]])</f>
        <v>Sigut</v>
      </c>
      <c r="F219" s="2" t="str">
        <f>MID(Tabulka1[[#This Row],[Adresa]],1,SEARCH(",",Tabulka1[[#This Row],[Adresa]])-1)</f>
        <v>Družstevní 496</v>
      </c>
      <c r="G219" s="2" t="str">
        <f>RIGHT(Tabulka1[[#This Row],[Adresa]],LEN(Tabulka1[[#This Row],[Adresa]])-LEN(Tabulka1[[#This Row],[Ulice]])-1)</f>
        <v>Brasy 1</v>
      </c>
      <c r="H219" s="2" t="str">
        <f>_xlfn.CONCAT(LOWER(Tabulka1[[#This Row],[příjmení bez mezer]]),".",LOWER(Tabulka1[[#This Row],[Jmeno bez mezer]]),"@firmaabc.cz")</f>
        <v>sigut.christian@firmaabc.cz</v>
      </c>
      <c r="I219" s="2" t="str">
        <f>_xlfn.CONCAT(LOWER(LEFT(Tabulka1[[#This Row],[příjmení bez mezer]],3)),UPPER(RIGHT(Tabulka1[[#This Row],[Jmeno bez mezer]],2)))</f>
        <v>sigAN</v>
      </c>
      <c r="J219" s="2" t="s">
        <v>1338</v>
      </c>
      <c r="K219" s="2" t="s">
        <v>1812</v>
      </c>
      <c r="L219" s="3" t="s">
        <v>2228</v>
      </c>
    </row>
    <row r="220" spans="1:12" x14ac:dyDescent="0.25">
      <c r="A220" s="2" t="s">
        <v>526</v>
      </c>
      <c r="B220" t="s">
        <v>527</v>
      </c>
      <c r="C220" t="s">
        <v>480</v>
      </c>
      <c r="D220" t="str">
        <f>TRIM(Tabulka1[[#This Row],[Jméno]])</f>
        <v>Vanda</v>
      </c>
      <c r="E220" t="str">
        <f>TRIM(Tabulka1[[#This Row],[Příjmení]])</f>
        <v>Prochazkova</v>
      </c>
      <c r="F220" s="2" t="str">
        <f>MID(Tabulka1[[#This Row],[Adresa]],1,SEARCH(",",Tabulka1[[#This Row],[Adresa]])-1)</f>
        <v>Školní 1590</v>
      </c>
      <c r="G220" s="2" t="str">
        <f>RIGHT(Tabulka1[[#This Row],[Adresa]],LEN(Tabulka1[[#This Row],[Adresa]])-LEN(Tabulka1[[#This Row],[Ulice]])-1)</f>
        <v>Brasy 1</v>
      </c>
      <c r="H220" s="2" t="str">
        <f>_xlfn.CONCAT(LOWER(Tabulka1[[#This Row],[příjmení bez mezer]]),".",LOWER(Tabulka1[[#This Row],[Jmeno bez mezer]]),"@firmaabc.cz")</f>
        <v>prochazkova.vanda@firmaabc.cz</v>
      </c>
      <c r="I220" s="2" t="str">
        <f>_xlfn.CONCAT(LOWER(LEFT(Tabulka1[[#This Row],[příjmení bez mezer]],3)),UPPER(RIGHT(Tabulka1[[#This Row],[Jmeno bez mezer]],2)))</f>
        <v>proDA</v>
      </c>
      <c r="J220" s="2" t="s">
        <v>1339</v>
      </c>
      <c r="K220" s="2" t="s">
        <v>1812</v>
      </c>
      <c r="L220" s="3" t="s">
        <v>2229</v>
      </c>
    </row>
    <row r="221" spans="1:12" ht="45" x14ac:dyDescent="0.25">
      <c r="A221" s="2" t="s">
        <v>528</v>
      </c>
      <c r="B221" t="s">
        <v>253</v>
      </c>
      <c r="C221" t="s">
        <v>529</v>
      </c>
      <c r="D221" t="str">
        <f>TRIM(Tabulka1[[#This Row],[Jméno]])</f>
        <v>Eva</v>
      </c>
      <c r="E221" t="str">
        <f>TRIM(Tabulka1[[#This Row],[Příjmení]])</f>
        <v>Simkova</v>
      </c>
      <c r="F221" s="2" t="str">
        <f>MID(Tabulka1[[#This Row],[Adresa]],1,SEARCH(",",Tabulka1[[#This Row],[Adresa]])-1)</f>
        <v>Větrník 158</v>
      </c>
      <c r="G221" s="2" t="str">
        <f>RIGHT(Tabulka1[[#This Row],[Adresa]],LEN(Tabulka1[[#This Row],[Adresa]])-LEN(Tabulka1[[#This Row],[Ulice]])-1)</f>
        <v>Studnice u Náchoda</v>
      </c>
      <c r="H221" s="2" t="str">
        <f>_xlfn.CONCAT(LOWER(Tabulka1[[#This Row],[příjmení bez mezer]]),".",LOWER(Tabulka1[[#This Row],[Jmeno bez mezer]]),"@firmaabc.cz")</f>
        <v>simkova.eva@firmaabc.cz</v>
      </c>
      <c r="I221" s="2" t="str">
        <f>_xlfn.CONCAT(LOWER(LEFT(Tabulka1[[#This Row],[příjmení bez mezer]],3)),UPPER(RIGHT(Tabulka1[[#This Row],[Jmeno bez mezer]],2)))</f>
        <v>simVA</v>
      </c>
      <c r="J221" s="2" t="s">
        <v>1340</v>
      </c>
      <c r="K221" s="2" t="s">
        <v>1646</v>
      </c>
      <c r="L221" s="3" t="s">
        <v>2230</v>
      </c>
    </row>
    <row r="222" spans="1:12" ht="30" x14ac:dyDescent="0.25">
      <c r="A222" s="2" t="s">
        <v>530</v>
      </c>
      <c r="B222" t="s">
        <v>64</v>
      </c>
      <c r="C222" t="s">
        <v>531</v>
      </c>
      <c r="D222" t="str">
        <f>TRIM(Tabulka1[[#This Row],[Jméno]])</f>
        <v>Karel</v>
      </c>
      <c r="E222" t="str">
        <f>TRIM(Tabulka1[[#This Row],[Příjmení]])</f>
        <v>Bohata</v>
      </c>
      <c r="F222" s="2" t="str">
        <f>MID(Tabulka1[[#This Row],[Adresa]],1,SEARCH(",",Tabulka1[[#This Row],[Adresa]])-1)</f>
        <v>Alšova 1847</v>
      </c>
      <c r="G222" s="2" t="str">
        <f>RIGHT(Tabulka1[[#This Row],[Adresa]],LEN(Tabulka1[[#This Row],[Adresa]])-LEN(Tabulka1[[#This Row],[Ulice]])-1)</f>
        <v>Vráž u Písku</v>
      </c>
      <c r="H222" s="2" t="str">
        <f>_xlfn.CONCAT(LOWER(Tabulka1[[#This Row],[příjmení bez mezer]]),".",LOWER(Tabulka1[[#This Row],[Jmeno bez mezer]]),"@firmaabc.cz")</f>
        <v>bohata.karel@firmaabc.cz</v>
      </c>
      <c r="I222" s="2" t="str">
        <f>_xlfn.CONCAT(LOWER(LEFT(Tabulka1[[#This Row],[příjmení bez mezer]],3)),UPPER(RIGHT(Tabulka1[[#This Row],[Jmeno bez mezer]],2)))</f>
        <v>bohEL</v>
      </c>
      <c r="J222" s="2" t="s">
        <v>1341</v>
      </c>
      <c r="K222" s="2" t="s">
        <v>1813</v>
      </c>
      <c r="L222" s="3" t="s">
        <v>2231</v>
      </c>
    </row>
    <row r="223" spans="1:12" ht="45" x14ac:dyDescent="0.25">
      <c r="A223" s="2" t="s">
        <v>532</v>
      </c>
      <c r="B223" t="s">
        <v>519</v>
      </c>
      <c r="C223" t="s">
        <v>533</v>
      </c>
      <c r="D223" t="str">
        <f>TRIM(Tabulka1[[#This Row],[Jméno]])</f>
        <v>Eliska</v>
      </c>
      <c r="E223" t="str">
        <f>TRIM(Tabulka1[[#This Row],[Příjmení]])</f>
        <v>Hrbackova</v>
      </c>
      <c r="F223" s="2" t="str">
        <f>MID(Tabulka1[[#This Row],[Adresa]],1,SEARCH(",",Tabulka1[[#This Row],[Adresa]])-1)</f>
        <v>V Zahradách 1125</v>
      </c>
      <c r="G223" s="2" t="str">
        <f>RIGHT(Tabulka1[[#This Row],[Adresa]],LEN(Tabulka1[[#This Row],[Adresa]])-LEN(Tabulka1[[#This Row],[Ulice]])-1)</f>
        <v>Prerov 2</v>
      </c>
      <c r="H223" s="2" t="str">
        <f>_xlfn.CONCAT(LOWER(Tabulka1[[#This Row],[příjmení bez mezer]]),".",LOWER(Tabulka1[[#This Row],[Jmeno bez mezer]]),"@firmaabc.cz")</f>
        <v>hrbackova.eliska@firmaabc.cz</v>
      </c>
      <c r="I223" s="2" t="str">
        <f>_xlfn.CONCAT(LOWER(LEFT(Tabulka1[[#This Row],[příjmení bez mezer]],3)),UPPER(RIGHT(Tabulka1[[#This Row],[Jmeno bez mezer]],2)))</f>
        <v>hrbKA</v>
      </c>
      <c r="J223" s="2" t="s">
        <v>1342</v>
      </c>
      <c r="K223" s="2" t="s">
        <v>1732</v>
      </c>
      <c r="L223" s="3" t="s">
        <v>2232</v>
      </c>
    </row>
    <row r="224" spans="1:12" ht="30" x14ac:dyDescent="0.25">
      <c r="A224" s="2" t="s">
        <v>534</v>
      </c>
      <c r="B224" t="s">
        <v>148</v>
      </c>
      <c r="C224" t="s">
        <v>535</v>
      </c>
      <c r="D224" t="str">
        <f>TRIM(Tabulka1[[#This Row],[Jméno]])</f>
        <v>Josef</v>
      </c>
      <c r="E224" t="str">
        <f>TRIM(Tabulka1[[#This Row],[Příjmení]])</f>
        <v>Moravec</v>
      </c>
      <c r="F224" s="2" t="str">
        <f>MID(Tabulka1[[#This Row],[Adresa]],1,SEARCH(",",Tabulka1[[#This Row],[Adresa]])-1)</f>
        <v>Fibichova 985</v>
      </c>
      <c r="G224" s="2" t="str">
        <f>RIGHT(Tabulka1[[#This Row],[Adresa]],LEN(Tabulka1[[#This Row],[Adresa]])-LEN(Tabulka1[[#This Row],[Ulice]])-1)</f>
        <v>Libechov</v>
      </c>
      <c r="H224" s="2" t="str">
        <f>_xlfn.CONCAT(LOWER(Tabulka1[[#This Row],[příjmení bez mezer]]),".",LOWER(Tabulka1[[#This Row],[Jmeno bez mezer]]),"@firmaabc.cz")</f>
        <v>moravec.josef@firmaabc.cz</v>
      </c>
      <c r="I224" s="2" t="str">
        <f>_xlfn.CONCAT(LOWER(LEFT(Tabulka1[[#This Row],[příjmení bez mezer]],3)),UPPER(RIGHT(Tabulka1[[#This Row],[Jmeno bez mezer]],2)))</f>
        <v>morEF</v>
      </c>
      <c r="J224" s="2" t="s">
        <v>1343</v>
      </c>
      <c r="K224" s="2" t="s">
        <v>1814</v>
      </c>
      <c r="L224" s="3" t="s">
        <v>2233</v>
      </c>
    </row>
    <row r="225" spans="1:12" ht="30" x14ac:dyDescent="0.25">
      <c r="A225" s="2" t="s">
        <v>536</v>
      </c>
      <c r="B225" t="s">
        <v>268</v>
      </c>
      <c r="C225" t="s">
        <v>537</v>
      </c>
      <c r="D225" t="str">
        <f>TRIM(Tabulka1[[#This Row],[Jméno]])</f>
        <v>Anna</v>
      </c>
      <c r="E225" t="str">
        <f>TRIM(Tabulka1[[#This Row],[Příjmení]])</f>
        <v>Kopecna</v>
      </c>
      <c r="F225" s="2" t="str">
        <f>MID(Tabulka1[[#This Row],[Adresa]],1,SEARCH(",",Tabulka1[[#This Row],[Adresa]])-1)</f>
        <v>Větrná 279</v>
      </c>
      <c r="G225" s="2" t="str">
        <f>RIGHT(Tabulka1[[#This Row],[Adresa]],LEN(Tabulka1[[#This Row],[Adresa]])-LEN(Tabulka1[[#This Row],[Ulice]])-1)</f>
        <v>Slavkov u Brna</v>
      </c>
      <c r="H225" s="2" t="str">
        <f>_xlfn.CONCAT(LOWER(Tabulka1[[#This Row],[příjmení bez mezer]]),".",LOWER(Tabulka1[[#This Row],[Jmeno bez mezer]]),"@firmaabc.cz")</f>
        <v>kopecna.anna@firmaabc.cz</v>
      </c>
      <c r="I225" s="2" t="str">
        <f>_xlfn.CONCAT(LOWER(LEFT(Tabulka1[[#This Row],[příjmení bez mezer]],3)),UPPER(RIGHT(Tabulka1[[#This Row],[Jmeno bez mezer]],2)))</f>
        <v>kopNA</v>
      </c>
      <c r="J225" s="2" t="s">
        <v>1344</v>
      </c>
      <c r="K225" s="2" t="s">
        <v>1745</v>
      </c>
      <c r="L225" s="3" t="s">
        <v>2234</v>
      </c>
    </row>
    <row r="226" spans="1:12" ht="30" x14ac:dyDescent="0.25">
      <c r="A226" s="2" t="s">
        <v>538</v>
      </c>
      <c r="B226" t="s">
        <v>539</v>
      </c>
      <c r="C226" t="s">
        <v>540</v>
      </c>
      <c r="D226" t="str">
        <f>TRIM(Tabulka1[[#This Row],[Jméno]])</f>
        <v>Irena</v>
      </c>
      <c r="E226" t="str">
        <f>TRIM(Tabulka1[[#This Row],[Příjmení]])</f>
        <v>Honsova</v>
      </c>
      <c r="F226" s="2" t="str">
        <f>MID(Tabulka1[[#This Row],[Adresa]],1,SEARCH(",",Tabulka1[[#This Row],[Adresa]])-1)</f>
        <v>Stožická 1764</v>
      </c>
      <c r="G226" s="2" t="str">
        <f>RIGHT(Tabulka1[[#This Row],[Adresa]],LEN(Tabulka1[[#This Row],[Adresa]])-LEN(Tabulka1[[#This Row],[Ulice]])-1)</f>
        <v>Vodnany</v>
      </c>
      <c r="H226" s="2" t="str">
        <f>_xlfn.CONCAT(LOWER(Tabulka1[[#This Row],[příjmení bez mezer]]),".",LOWER(Tabulka1[[#This Row],[Jmeno bez mezer]]),"@firmaabc.cz")</f>
        <v>honsova.irena@firmaabc.cz</v>
      </c>
      <c r="I226" s="2" t="str">
        <f>_xlfn.CONCAT(LOWER(LEFT(Tabulka1[[#This Row],[příjmení bez mezer]],3)),UPPER(RIGHT(Tabulka1[[#This Row],[Jmeno bez mezer]],2)))</f>
        <v>honNA</v>
      </c>
      <c r="J226" s="2" t="s">
        <v>1345</v>
      </c>
      <c r="K226" s="2" t="s">
        <v>1624</v>
      </c>
      <c r="L226" s="3" t="s">
        <v>2235</v>
      </c>
    </row>
    <row r="227" spans="1:12" ht="30" x14ac:dyDescent="0.25">
      <c r="A227" s="2" t="s">
        <v>541</v>
      </c>
      <c r="B227" t="s">
        <v>542</v>
      </c>
      <c r="C227" t="s">
        <v>543</v>
      </c>
      <c r="D227" t="str">
        <f>TRIM(Tabulka1[[#This Row],[Jméno]])</f>
        <v>Vlasta</v>
      </c>
      <c r="E227" t="str">
        <f>TRIM(Tabulka1[[#This Row],[Příjmení]])</f>
        <v>Hamplova</v>
      </c>
      <c r="F227" s="2" t="str">
        <f>MID(Tabulka1[[#This Row],[Adresa]],1,SEARCH(",",Tabulka1[[#This Row],[Adresa]])-1)</f>
        <v>Köhlerova 1849</v>
      </c>
      <c r="G227" s="2" t="str">
        <f>RIGHT(Tabulka1[[#This Row],[Adresa]],LEN(Tabulka1[[#This Row],[Adresa]])-LEN(Tabulka1[[#This Row],[Ulice]])-1)</f>
        <v>Vlkoš u Kyjova</v>
      </c>
      <c r="H227" s="2" t="str">
        <f>_xlfn.CONCAT(LOWER(Tabulka1[[#This Row],[příjmení bez mezer]]),".",LOWER(Tabulka1[[#This Row],[Jmeno bez mezer]]),"@firmaabc.cz")</f>
        <v>hamplova.vlasta@firmaabc.cz</v>
      </c>
      <c r="I227" s="2" t="str">
        <f>_xlfn.CONCAT(LOWER(LEFT(Tabulka1[[#This Row],[příjmení bez mezer]],3)),UPPER(RIGHT(Tabulka1[[#This Row],[Jmeno bez mezer]],2)))</f>
        <v>hamTA</v>
      </c>
      <c r="J227" s="2" t="s">
        <v>1346</v>
      </c>
      <c r="K227" s="2" t="s">
        <v>1815</v>
      </c>
      <c r="L227" s="3" t="s">
        <v>2236</v>
      </c>
    </row>
    <row r="228" spans="1:12" ht="30" x14ac:dyDescent="0.25">
      <c r="A228" s="2" t="s">
        <v>544</v>
      </c>
      <c r="B228" t="s">
        <v>39</v>
      </c>
      <c r="C228" t="s">
        <v>141</v>
      </c>
      <c r="D228" t="str">
        <f>TRIM(Tabulka1[[#This Row],[Jméno]])</f>
        <v>Ivana</v>
      </c>
      <c r="E228" t="str">
        <f>TRIM(Tabulka1[[#This Row],[Příjmení]])</f>
        <v>Kubatova</v>
      </c>
      <c r="F228" s="2" t="str">
        <f>MID(Tabulka1[[#This Row],[Adresa]],1,SEARCH(",",Tabulka1[[#This Row],[Adresa]])-1)</f>
        <v>Kovářská 1531</v>
      </c>
      <c r="G228" s="2" t="str">
        <f>RIGHT(Tabulka1[[#This Row],[Adresa]],LEN(Tabulka1[[#This Row],[Adresa]])-LEN(Tabulka1[[#This Row],[Ulice]])-1)</f>
        <v>Ústí nad Labem 2</v>
      </c>
      <c r="H228" s="2" t="str">
        <f>_xlfn.CONCAT(LOWER(Tabulka1[[#This Row],[příjmení bez mezer]]),".",LOWER(Tabulka1[[#This Row],[Jmeno bez mezer]]),"@firmaabc.cz")</f>
        <v>kubatova.ivana@firmaabc.cz</v>
      </c>
      <c r="I228" s="2" t="str">
        <f>_xlfn.CONCAT(LOWER(LEFT(Tabulka1[[#This Row],[příjmení bez mezer]],3)),UPPER(RIGHT(Tabulka1[[#This Row],[Jmeno bez mezer]],2)))</f>
        <v>kubNA</v>
      </c>
      <c r="J228" s="2" t="s">
        <v>1347</v>
      </c>
      <c r="K228" s="2" t="s">
        <v>1816</v>
      </c>
      <c r="L228" s="3" t="s">
        <v>2237</v>
      </c>
    </row>
    <row r="229" spans="1:12" ht="30" x14ac:dyDescent="0.25">
      <c r="A229" s="2" t="s">
        <v>545</v>
      </c>
      <c r="B229" t="s">
        <v>546</v>
      </c>
      <c r="C229" t="s">
        <v>547</v>
      </c>
      <c r="D229" t="str">
        <f>TRIM(Tabulka1[[#This Row],[Jméno]])</f>
        <v>Ladislav</v>
      </c>
      <c r="E229" t="str">
        <f>TRIM(Tabulka1[[#This Row],[Příjmení]])</f>
        <v>Tomes</v>
      </c>
      <c r="F229" s="2" t="str">
        <f>MID(Tabulka1[[#This Row],[Adresa]],1,SEARCH(",",Tabulka1[[#This Row],[Adresa]])-1)</f>
        <v>Čechova 997</v>
      </c>
      <c r="G229" s="2" t="str">
        <f>RIGHT(Tabulka1[[#This Row],[Adresa]],LEN(Tabulka1[[#This Row],[Adresa]])-LEN(Tabulka1[[#This Row],[Ulice]])-1)</f>
        <v>Miretice u Hlinska</v>
      </c>
      <c r="H229" s="2" t="str">
        <f>_xlfn.CONCAT(LOWER(Tabulka1[[#This Row],[příjmení bez mezer]]),".",LOWER(Tabulka1[[#This Row],[Jmeno bez mezer]]),"@firmaabc.cz")</f>
        <v>tomes.ladislav@firmaabc.cz</v>
      </c>
      <c r="I229" s="2" t="str">
        <f>_xlfn.CONCAT(LOWER(LEFT(Tabulka1[[#This Row],[příjmení bez mezer]],3)),UPPER(RIGHT(Tabulka1[[#This Row],[Jmeno bez mezer]],2)))</f>
        <v>tomAV</v>
      </c>
      <c r="J229" s="2" t="s">
        <v>1348</v>
      </c>
      <c r="K229" s="2" t="s">
        <v>1742</v>
      </c>
      <c r="L229" s="3" t="s">
        <v>2238</v>
      </c>
    </row>
    <row r="230" spans="1:12" ht="45" x14ac:dyDescent="0.25">
      <c r="A230" s="2" t="s">
        <v>548</v>
      </c>
      <c r="B230" t="s">
        <v>12</v>
      </c>
      <c r="C230" t="s">
        <v>549</v>
      </c>
      <c r="D230" t="str">
        <f>TRIM(Tabulka1[[#This Row],[Jméno]])</f>
        <v>Martina</v>
      </c>
      <c r="E230" t="str">
        <f>TRIM(Tabulka1[[#This Row],[Příjmení]])</f>
        <v>Sedova</v>
      </c>
      <c r="F230" s="2" t="str">
        <f>MID(Tabulka1[[#This Row],[Adresa]],1,SEARCH(",",Tabulka1[[#This Row],[Adresa]])-1)</f>
        <v>V Zahradách 1589</v>
      </c>
      <c r="G230" s="2" t="str">
        <f>RIGHT(Tabulka1[[#This Row],[Adresa]],LEN(Tabulka1[[#This Row],[Adresa]])-LEN(Tabulka1[[#This Row],[Ulice]])-1)</f>
        <v>Brodek u Prerova</v>
      </c>
      <c r="H230" s="2" t="str">
        <f>_xlfn.CONCAT(LOWER(Tabulka1[[#This Row],[příjmení bez mezer]]),".",LOWER(Tabulka1[[#This Row],[Jmeno bez mezer]]),"@firmaabc.cz")</f>
        <v>sedova.martina@firmaabc.cz</v>
      </c>
      <c r="I230" s="2" t="str">
        <f>_xlfn.CONCAT(LOWER(LEFT(Tabulka1[[#This Row],[příjmení bez mezer]],3)),UPPER(RIGHT(Tabulka1[[#This Row],[Jmeno bez mezer]],2)))</f>
        <v>sedNA</v>
      </c>
      <c r="J230" s="2" t="s">
        <v>1349</v>
      </c>
      <c r="K230" s="2" t="s">
        <v>1817</v>
      </c>
      <c r="L230" s="3" t="s">
        <v>2239</v>
      </c>
    </row>
    <row r="231" spans="1:12" ht="30" x14ac:dyDescent="0.25">
      <c r="A231" s="2" t="s">
        <v>550</v>
      </c>
      <c r="B231" t="s">
        <v>178</v>
      </c>
      <c r="C231" t="s">
        <v>551</v>
      </c>
      <c r="D231" t="str">
        <f>TRIM(Tabulka1[[#This Row],[Jméno]])</f>
        <v>Jaroslav</v>
      </c>
      <c r="E231" t="str">
        <f>TRIM(Tabulka1[[#This Row],[Příjmení]])</f>
        <v>Skrivanek</v>
      </c>
      <c r="F231" s="2" t="str">
        <f>MID(Tabulka1[[#This Row],[Adresa]],1,SEARCH(",",Tabulka1[[#This Row],[Adresa]])-1)</f>
        <v>Pivovarská 607</v>
      </c>
      <c r="G231" s="2" t="str">
        <f>RIGHT(Tabulka1[[#This Row],[Adresa]],LEN(Tabulka1[[#This Row],[Adresa]])-LEN(Tabulka1[[#This Row],[Ulice]])-1)</f>
        <v>Toužim</v>
      </c>
      <c r="H231" s="2" t="str">
        <f>_xlfn.CONCAT(LOWER(Tabulka1[[#This Row],[příjmení bez mezer]]),".",LOWER(Tabulka1[[#This Row],[Jmeno bez mezer]]),"@firmaabc.cz")</f>
        <v>skrivanek.jaroslav@firmaabc.cz</v>
      </c>
      <c r="I231" s="2" t="str">
        <f>_xlfn.CONCAT(LOWER(LEFT(Tabulka1[[#This Row],[příjmení bez mezer]],3)),UPPER(RIGHT(Tabulka1[[#This Row],[Jmeno bez mezer]],2)))</f>
        <v>skrAV</v>
      </c>
      <c r="J231" s="2" t="s">
        <v>1350</v>
      </c>
      <c r="K231" s="2" t="s">
        <v>1818</v>
      </c>
      <c r="L231" s="3" t="s">
        <v>2240</v>
      </c>
    </row>
    <row r="232" spans="1:12" ht="30" x14ac:dyDescent="0.25">
      <c r="A232" s="2" t="s">
        <v>552</v>
      </c>
      <c r="B232" t="s">
        <v>287</v>
      </c>
      <c r="C232" t="s">
        <v>553</v>
      </c>
      <c r="D232" t="str">
        <f>TRIM(Tabulka1[[#This Row],[Jméno]])</f>
        <v>Petr</v>
      </c>
      <c r="E232" t="str">
        <f>TRIM(Tabulka1[[#This Row],[Příjmení]])</f>
        <v>Grunt</v>
      </c>
      <c r="F232" s="2" t="str">
        <f>MID(Tabulka1[[#This Row],[Adresa]],1,SEARCH(",",Tabulka1[[#This Row],[Adresa]])-1)</f>
        <v>Sokolská 1373</v>
      </c>
      <c r="G232" s="2" t="str">
        <f>RIGHT(Tabulka1[[#This Row],[Adresa]],LEN(Tabulka1[[#This Row],[Adresa]])-LEN(Tabulka1[[#This Row],[Ulice]])-1)</f>
        <v>Lesonice</v>
      </c>
      <c r="H232" s="2" t="str">
        <f>_xlfn.CONCAT(LOWER(Tabulka1[[#This Row],[příjmení bez mezer]]),".",LOWER(Tabulka1[[#This Row],[Jmeno bez mezer]]),"@firmaabc.cz")</f>
        <v>grunt.petr@firmaabc.cz</v>
      </c>
      <c r="I232" s="2" t="str">
        <f>_xlfn.CONCAT(LOWER(LEFT(Tabulka1[[#This Row],[příjmení bez mezer]],3)),UPPER(RIGHT(Tabulka1[[#This Row],[Jmeno bez mezer]],2)))</f>
        <v>gruTR</v>
      </c>
      <c r="J232" s="2" t="s">
        <v>1351</v>
      </c>
      <c r="K232" s="2" t="s">
        <v>1819</v>
      </c>
      <c r="L232" s="3" t="s">
        <v>2241</v>
      </c>
    </row>
    <row r="233" spans="1:12" ht="30" x14ac:dyDescent="0.25">
      <c r="A233" s="2" t="s">
        <v>554</v>
      </c>
      <c r="B233" t="s">
        <v>145</v>
      </c>
      <c r="C233" t="s">
        <v>555</v>
      </c>
      <c r="D233" t="str">
        <f>TRIM(Tabulka1[[#This Row],[Jméno]])</f>
        <v>Hana</v>
      </c>
      <c r="E233" t="str">
        <f>TRIM(Tabulka1[[#This Row],[Příjmení]])</f>
        <v>Janouskova</v>
      </c>
      <c r="F233" s="2" t="str">
        <f>MID(Tabulka1[[#This Row],[Adresa]],1,SEARCH(",",Tabulka1[[#This Row],[Adresa]])-1)</f>
        <v>Havlíčkova 85</v>
      </c>
      <c r="G233" s="2" t="str">
        <f>RIGHT(Tabulka1[[#This Row],[Adresa]],LEN(Tabulka1[[#This Row],[Adresa]])-LEN(Tabulka1[[#This Row],[Ulice]])-1)</f>
        <v>Kacice</v>
      </c>
      <c r="H233" s="2" t="str">
        <f>_xlfn.CONCAT(LOWER(Tabulka1[[#This Row],[příjmení bez mezer]]),".",LOWER(Tabulka1[[#This Row],[Jmeno bez mezer]]),"@firmaabc.cz")</f>
        <v>janouskova.hana@firmaabc.cz</v>
      </c>
      <c r="I233" s="2" t="str">
        <f>_xlfn.CONCAT(LOWER(LEFT(Tabulka1[[#This Row],[příjmení bez mezer]],3)),UPPER(RIGHT(Tabulka1[[#This Row],[Jmeno bez mezer]],2)))</f>
        <v>janNA</v>
      </c>
      <c r="J233" s="2" t="s">
        <v>1352</v>
      </c>
      <c r="K233" s="2" t="s">
        <v>1820</v>
      </c>
      <c r="L233" s="3" t="s">
        <v>2242</v>
      </c>
    </row>
    <row r="234" spans="1:12" ht="30" x14ac:dyDescent="0.25">
      <c r="A234" s="2" t="s">
        <v>556</v>
      </c>
      <c r="B234" t="s">
        <v>96</v>
      </c>
      <c r="C234" t="s">
        <v>557</v>
      </c>
      <c r="D234" t="str">
        <f>TRIM(Tabulka1[[#This Row],[Jméno]])</f>
        <v>Lukas</v>
      </c>
      <c r="E234" t="str">
        <f>TRIM(Tabulka1[[#This Row],[Příjmení]])</f>
        <v>Kabelac</v>
      </c>
      <c r="F234" s="2" t="str">
        <f>MID(Tabulka1[[#This Row],[Adresa]],1,SEARCH(",",Tabulka1[[#This Row],[Adresa]])-1)</f>
        <v>Za Školou 677</v>
      </c>
      <c r="G234" s="2" t="str">
        <f>RIGHT(Tabulka1[[#This Row],[Adresa]],LEN(Tabulka1[[#This Row],[Adresa]])-LEN(Tabulka1[[#This Row],[Ulice]])-1)</f>
        <v>Brno 42</v>
      </c>
      <c r="H234" s="2" t="str">
        <f>_xlfn.CONCAT(LOWER(Tabulka1[[#This Row],[příjmení bez mezer]]),".",LOWER(Tabulka1[[#This Row],[Jmeno bez mezer]]),"@firmaabc.cz")</f>
        <v>kabelac.lukas@firmaabc.cz</v>
      </c>
      <c r="I234" s="2" t="str">
        <f>_xlfn.CONCAT(LOWER(LEFT(Tabulka1[[#This Row],[příjmení bez mezer]],3)),UPPER(RIGHT(Tabulka1[[#This Row],[Jmeno bez mezer]],2)))</f>
        <v>kabAS</v>
      </c>
      <c r="J234" s="2" t="s">
        <v>1353</v>
      </c>
      <c r="K234" s="2" t="s">
        <v>1821</v>
      </c>
      <c r="L234" s="3" t="s">
        <v>2243</v>
      </c>
    </row>
    <row r="235" spans="1:12" ht="45" x14ac:dyDescent="0.25">
      <c r="A235" s="2" t="s">
        <v>558</v>
      </c>
      <c r="B235" t="s">
        <v>42</v>
      </c>
      <c r="C235" t="s">
        <v>559</v>
      </c>
      <c r="D235" t="str">
        <f>TRIM(Tabulka1[[#This Row],[Jméno]])</f>
        <v>Marie</v>
      </c>
      <c r="E235" t="str">
        <f>TRIM(Tabulka1[[#This Row],[Příjmení]])</f>
        <v>Kyselova</v>
      </c>
      <c r="F235" s="2" t="str">
        <f>MID(Tabulka1[[#This Row],[Adresa]],1,SEARCH(",",Tabulka1[[#This Row],[Adresa]])-1)</f>
        <v>Lesní 258</v>
      </c>
      <c r="G235" s="2" t="str">
        <f>RIGHT(Tabulka1[[#This Row],[Adresa]],LEN(Tabulka1[[#This Row],[Adresa]])-LEN(Tabulka1[[#This Row],[Ulice]])-1)</f>
        <v>Jablonné nad Orlicí</v>
      </c>
      <c r="H235" s="2" t="str">
        <f>_xlfn.CONCAT(LOWER(Tabulka1[[#This Row],[příjmení bez mezer]]),".",LOWER(Tabulka1[[#This Row],[Jmeno bez mezer]]),"@firmaabc.cz")</f>
        <v>kyselova.marie@firmaabc.cz</v>
      </c>
      <c r="I235" s="2" t="str">
        <f>_xlfn.CONCAT(LOWER(LEFT(Tabulka1[[#This Row],[příjmení bez mezer]],3)),UPPER(RIGHT(Tabulka1[[#This Row],[Jmeno bez mezer]],2)))</f>
        <v>kysIE</v>
      </c>
      <c r="J235" s="2" t="s">
        <v>1354</v>
      </c>
      <c r="K235" s="2" t="s">
        <v>1822</v>
      </c>
      <c r="L235" s="3" t="s">
        <v>2244</v>
      </c>
    </row>
    <row r="236" spans="1:12" ht="30" x14ac:dyDescent="0.25">
      <c r="A236" s="2" t="s">
        <v>560</v>
      </c>
      <c r="B236" t="s">
        <v>287</v>
      </c>
      <c r="C236" t="s">
        <v>561</v>
      </c>
      <c r="D236" t="str">
        <f>TRIM(Tabulka1[[#This Row],[Jméno]])</f>
        <v>Petr</v>
      </c>
      <c r="E236" t="str">
        <f>TRIM(Tabulka1[[#This Row],[Příjmení]])</f>
        <v>Trnecka</v>
      </c>
      <c r="F236" s="2" t="str">
        <f>MID(Tabulka1[[#This Row],[Adresa]],1,SEARCH(",",Tabulka1[[#This Row],[Adresa]])-1)</f>
        <v>Vostelčická 992</v>
      </c>
      <c r="G236" s="2" t="str">
        <f>RIGHT(Tabulka1[[#This Row],[Adresa]],LEN(Tabulka1[[#This Row],[Adresa]])-LEN(Tabulka1[[#This Row],[Ulice]])-1)</f>
        <v>Svitavy 2</v>
      </c>
      <c r="H236" s="2" t="str">
        <f>_xlfn.CONCAT(LOWER(Tabulka1[[#This Row],[příjmení bez mezer]]),".",LOWER(Tabulka1[[#This Row],[Jmeno bez mezer]]),"@firmaabc.cz")</f>
        <v>trnecka.petr@firmaabc.cz</v>
      </c>
      <c r="I236" s="2" t="str">
        <f>_xlfn.CONCAT(LOWER(LEFT(Tabulka1[[#This Row],[příjmení bez mezer]],3)),UPPER(RIGHT(Tabulka1[[#This Row],[Jmeno bez mezer]],2)))</f>
        <v>trnTR</v>
      </c>
      <c r="J236" s="2" t="s">
        <v>1355</v>
      </c>
      <c r="K236" s="2" t="s">
        <v>1823</v>
      </c>
      <c r="L236" s="3" t="s">
        <v>2245</v>
      </c>
    </row>
    <row r="237" spans="1:12" ht="30" x14ac:dyDescent="0.25">
      <c r="A237" s="2" t="s">
        <v>562</v>
      </c>
      <c r="B237" t="s">
        <v>563</v>
      </c>
      <c r="C237" t="s">
        <v>564</v>
      </c>
      <c r="D237" t="str">
        <f>TRIM(Tabulka1[[#This Row],[Jméno]])</f>
        <v>Anezka</v>
      </c>
      <c r="E237" t="str">
        <f>TRIM(Tabulka1[[#This Row],[Příjmení]])</f>
        <v>Zivna</v>
      </c>
      <c r="F237" s="2" t="str">
        <f>MID(Tabulka1[[#This Row],[Adresa]],1,SEARCH(",",Tabulka1[[#This Row],[Adresa]])-1)</f>
        <v>Dvořákova 406</v>
      </c>
      <c r="G237" s="2" t="str">
        <f>RIGHT(Tabulka1[[#This Row],[Adresa]],LEN(Tabulka1[[#This Row],[Adresa]])-LEN(Tabulka1[[#This Row],[Ulice]])-1)</f>
        <v>Rícany u Prahy</v>
      </c>
      <c r="H237" s="2" t="str">
        <f>_xlfn.CONCAT(LOWER(Tabulka1[[#This Row],[příjmení bez mezer]]),".",LOWER(Tabulka1[[#This Row],[Jmeno bez mezer]]),"@firmaabc.cz")</f>
        <v>zivna.anezka@firmaabc.cz</v>
      </c>
      <c r="I237" s="2" t="str">
        <f>_xlfn.CONCAT(LOWER(LEFT(Tabulka1[[#This Row],[příjmení bez mezer]],3)),UPPER(RIGHT(Tabulka1[[#This Row],[Jmeno bez mezer]],2)))</f>
        <v>zivKA</v>
      </c>
      <c r="J237" s="2" t="s">
        <v>1356</v>
      </c>
      <c r="K237" s="2" t="s">
        <v>1824</v>
      </c>
      <c r="L237" s="3" t="s">
        <v>2246</v>
      </c>
    </row>
    <row r="238" spans="1:12" ht="30" x14ac:dyDescent="0.25">
      <c r="A238" s="2" t="s">
        <v>565</v>
      </c>
      <c r="B238" t="s">
        <v>113</v>
      </c>
      <c r="C238" t="s">
        <v>450</v>
      </c>
      <c r="D238" t="str">
        <f>TRIM(Tabulka1[[#This Row],[Jméno]])</f>
        <v>Jiri</v>
      </c>
      <c r="E238" t="str">
        <f>TRIM(Tabulka1[[#This Row],[Příjmení]])</f>
        <v>Prazak</v>
      </c>
      <c r="F238" s="2" t="str">
        <f>MID(Tabulka1[[#This Row],[Adresa]],1,SEARCH(",",Tabulka1[[#This Row],[Adresa]])-1)</f>
        <v>U Parku 1681</v>
      </c>
      <c r="G238" s="2" t="str">
        <f>RIGHT(Tabulka1[[#This Row],[Adresa]],LEN(Tabulka1[[#This Row],[Adresa]])-LEN(Tabulka1[[#This Row],[Ulice]])-1)</f>
        <v>Borek</v>
      </c>
      <c r="H238" s="2" t="str">
        <f>_xlfn.CONCAT(LOWER(Tabulka1[[#This Row],[příjmení bez mezer]]),".",LOWER(Tabulka1[[#This Row],[Jmeno bez mezer]]),"@firmaabc.cz")</f>
        <v>prazak.jiri@firmaabc.cz</v>
      </c>
      <c r="I238" s="2" t="str">
        <f>_xlfn.CONCAT(LOWER(LEFT(Tabulka1[[#This Row],[příjmení bez mezer]],3)),UPPER(RIGHT(Tabulka1[[#This Row],[Jmeno bez mezer]],2)))</f>
        <v>praRI</v>
      </c>
      <c r="J238" s="2" t="s">
        <v>1357</v>
      </c>
      <c r="K238" s="2" t="s">
        <v>1825</v>
      </c>
      <c r="L238" s="3" t="s">
        <v>2247</v>
      </c>
    </row>
    <row r="239" spans="1:12" ht="75" x14ac:dyDescent="0.25">
      <c r="A239" s="2" t="s">
        <v>566</v>
      </c>
      <c r="B239" t="s">
        <v>148</v>
      </c>
      <c r="C239" t="s">
        <v>567</v>
      </c>
      <c r="D239" t="str">
        <f>TRIM(Tabulka1[[#This Row],[Jméno]])</f>
        <v>Josef</v>
      </c>
      <c r="E239" t="str">
        <f>TRIM(Tabulka1[[#This Row],[Příjmení]])</f>
        <v>Klas</v>
      </c>
      <c r="F239" s="2" t="str">
        <f>MID(Tabulka1[[#This Row],[Adresa]],1,SEARCH(",",Tabulka1[[#This Row],[Adresa]])-1)</f>
        <v>Nerudova 693</v>
      </c>
      <c r="G239" s="2" t="str">
        <f>RIGHT(Tabulka1[[#This Row],[Adresa]],LEN(Tabulka1[[#This Row],[Adresa]])-LEN(Tabulka1[[#This Row],[Ulice]])-1)</f>
        <v>Dobrá Voda u Ceských Budejovic</v>
      </c>
      <c r="H239" s="2" t="str">
        <f>_xlfn.CONCAT(LOWER(Tabulka1[[#This Row],[příjmení bez mezer]]),".",LOWER(Tabulka1[[#This Row],[Jmeno bez mezer]]),"@firmaabc.cz")</f>
        <v>klas.josef@firmaabc.cz</v>
      </c>
      <c r="I239" s="2" t="str">
        <f>_xlfn.CONCAT(LOWER(LEFT(Tabulka1[[#This Row],[příjmení bez mezer]],3)),UPPER(RIGHT(Tabulka1[[#This Row],[Jmeno bez mezer]],2)))</f>
        <v>klaEF</v>
      </c>
      <c r="J239" s="2" t="s">
        <v>1358</v>
      </c>
      <c r="K239" s="2" t="s">
        <v>1826</v>
      </c>
      <c r="L239" s="3" t="s">
        <v>2248</v>
      </c>
    </row>
    <row r="240" spans="1:12" ht="45" x14ac:dyDescent="0.25">
      <c r="A240" s="2" t="s">
        <v>568</v>
      </c>
      <c r="B240" t="s">
        <v>189</v>
      </c>
      <c r="C240" t="s">
        <v>569</v>
      </c>
      <c r="D240" t="str">
        <f>TRIM(Tabulka1[[#This Row],[Jméno]])</f>
        <v>Jana</v>
      </c>
      <c r="E240" t="str">
        <f>TRIM(Tabulka1[[#This Row],[Příjmení]])</f>
        <v>Puncocharova</v>
      </c>
      <c r="F240" s="2" t="str">
        <f>MID(Tabulka1[[#This Row],[Adresa]],1,SEARCH(",",Tabulka1[[#This Row],[Adresa]])-1)</f>
        <v>V Zahradách 686</v>
      </c>
      <c r="G240" s="2" t="str">
        <f>RIGHT(Tabulka1[[#This Row],[Adresa]],LEN(Tabulka1[[#This Row],[Adresa]])-LEN(Tabulka1[[#This Row],[Ulice]])-1)</f>
        <v>Vítkov 1</v>
      </c>
      <c r="H240" s="2" t="str">
        <f>_xlfn.CONCAT(LOWER(Tabulka1[[#This Row],[příjmení bez mezer]]),".",LOWER(Tabulka1[[#This Row],[Jmeno bez mezer]]),"@firmaabc.cz")</f>
        <v>puncocharova.jana@firmaabc.cz</v>
      </c>
      <c r="I240" s="2" t="str">
        <f>_xlfn.CONCAT(LOWER(LEFT(Tabulka1[[#This Row],[příjmení bez mezer]],3)),UPPER(RIGHT(Tabulka1[[#This Row],[Jmeno bez mezer]],2)))</f>
        <v>punNA</v>
      </c>
      <c r="J240" s="2" t="s">
        <v>1359</v>
      </c>
      <c r="K240" s="2" t="s">
        <v>1827</v>
      </c>
      <c r="L240" s="3" t="s">
        <v>2249</v>
      </c>
    </row>
    <row r="241" spans="1:12" ht="30" x14ac:dyDescent="0.25">
      <c r="A241" s="2" t="s">
        <v>570</v>
      </c>
      <c r="B241" t="s">
        <v>79</v>
      </c>
      <c r="C241" t="s">
        <v>571</v>
      </c>
      <c r="D241" t="str">
        <f>TRIM(Tabulka1[[#This Row],[Jméno]])</f>
        <v>Miroslav</v>
      </c>
      <c r="E241" t="str">
        <f>TRIM(Tabulka1[[#This Row],[Příjmení]])</f>
        <v>Zouhar</v>
      </c>
      <c r="F241" s="2" t="str">
        <f>MID(Tabulka1[[#This Row],[Adresa]],1,SEARCH(",",Tabulka1[[#This Row],[Adresa]])-1)</f>
        <v>Školní 1912</v>
      </c>
      <c r="G241" s="2" t="str">
        <f>RIGHT(Tabulka1[[#This Row],[Adresa]],LEN(Tabulka1[[#This Row],[Adresa]])-LEN(Tabulka1[[#This Row],[Ulice]])-1)</f>
        <v>Nebahovy</v>
      </c>
      <c r="H241" s="2" t="str">
        <f>_xlfn.CONCAT(LOWER(Tabulka1[[#This Row],[příjmení bez mezer]]),".",LOWER(Tabulka1[[#This Row],[Jmeno bez mezer]]),"@firmaabc.cz")</f>
        <v>zouhar.miroslav@firmaabc.cz</v>
      </c>
      <c r="I241" s="2" t="str">
        <f>_xlfn.CONCAT(LOWER(LEFT(Tabulka1[[#This Row],[příjmení bez mezer]],3)),UPPER(RIGHT(Tabulka1[[#This Row],[Jmeno bez mezer]],2)))</f>
        <v>zouAV</v>
      </c>
      <c r="J241" s="2" t="s">
        <v>1360</v>
      </c>
      <c r="K241" s="2" t="s">
        <v>1828</v>
      </c>
      <c r="L241" s="3" t="s">
        <v>2250</v>
      </c>
    </row>
    <row r="242" spans="1:12" ht="30" x14ac:dyDescent="0.25">
      <c r="A242" s="2" t="s">
        <v>572</v>
      </c>
      <c r="B242" t="s">
        <v>39</v>
      </c>
      <c r="C242" t="s">
        <v>573</v>
      </c>
      <c r="D242" t="str">
        <f>TRIM(Tabulka1[[#This Row],[Jméno]])</f>
        <v>Ivana</v>
      </c>
      <c r="E242" t="str">
        <f>TRIM(Tabulka1[[#This Row],[Příjmení]])</f>
        <v>Karasova</v>
      </c>
      <c r="F242" s="2" t="str">
        <f>MID(Tabulka1[[#This Row],[Adresa]],1,SEARCH(",",Tabulka1[[#This Row],[Adresa]])-1)</f>
        <v>Nová 1872</v>
      </c>
      <c r="G242" s="2" t="str">
        <f>RIGHT(Tabulka1[[#This Row],[Adresa]],LEN(Tabulka1[[#This Row],[Adresa]])-LEN(Tabulka1[[#This Row],[Ulice]])-1)</f>
        <v>Mšeno u Melníka</v>
      </c>
      <c r="H242" s="2" t="str">
        <f>_xlfn.CONCAT(LOWER(Tabulka1[[#This Row],[příjmení bez mezer]]),".",LOWER(Tabulka1[[#This Row],[Jmeno bez mezer]]),"@firmaabc.cz")</f>
        <v>karasova.ivana@firmaabc.cz</v>
      </c>
      <c r="I242" s="2" t="str">
        <f>_xlfn.CONCAT(LOWER(LEFT(Tabulka1[[#This Row],[příjmení bez mezer]],3)),UPPER(RIGHT(Tabulka1[[#This Row],[Jmeno bez mezer]],2)))</f>
        <v>karNA</v>
      </c>
      <c r="J242" s="2" t="s">
        <v>1361</v>
      </c>
      <c r="K242" s="2" t="s">
        <v>1779</v>
      </c>
      <c r="L242" s="3" t="s">
        <v>2251</v>
      </c>
    </row>
    <row r="243" spans="1:12" ht="30" x14ac:dyDescent="0.25">
      <c r="A243" s="2" t="s">
        <v>574</v>
      </c>
      <c r="B243" t="s">
        <v>575</v>
      </c>
      <c r="C243" t="s">
        <v>576</v>
      </c>
      <c r="D243" t="str">
        <f>TRIM(Tabulka1[[#This Row],[Jméno]])</f>
        <v>Monika</v>
      </c>
      <c r="E243" t="str">
        <f>TRIM(Tabulka1[[#This Row],[Příjmení]])</f>
        <v>Krizova</v>
      </c>
      <c r="F243" s="2" t="str">
        <f>MID(Tabulka1[[#This Row],[Adresa]],1,SEARCH(",",Tabulka1[[#This Row],[Adresa]])-1)</f>
        <v>Lomená 1251</v>
      </c>
      <c r="G243" s="2" t="str">
        <f>RIGHT(Tabulka1[[#This Row],[Adresa]],LEN(Tabulka1[[#This Row],[Adresa]])-LEN(Tabulka1[[#This Row],[Ulice]])-1)</f>
        <v>Uhercice u Znojma</v>
      </c>
      <c r="H243" s="2" t="str">
        <f>_xlfn.CONCAT(LOWER(Tabulka1[[#This Row],[příjmení bez mezer]]),".",LOWER(Tabulka1[[#This Row],[Jmeno bez mezer]]),"@firmaabc.cz")</f>
        <v>krizova.monika@firmaabc.cz</v>
      </c>
      <c r="I243" s="2" t="str">
        <f>_xlfn.CONCAT(LOWER(LEFT(Tabulka1[[#This Row],[příjmení bez mezer]],3)),UPPER(RIGHT(Tabulka1[[#This Row],[Jmeno bez mezer]],2)))</f>
        <v>kriKA</v>
      </c>
      <c r="J243" s="2" t="s">
        <v>1362</v>
      </c>
      <c r="K243" s="2" t="s">
        <v>1651</v>
      </c>
      <c r="L243" s="3" t="s">
        <v>2252</v>
      </c>
    </row>
    <row r="244" spans="1:12" ht="30" x14ac:dyDescent="0.25">
      <c r="A244" s="2" t="s">
        <v>577</v>
      </c>
      <c r="B244" t="s">
        <v>39</v>
      </c>
      <c r="C244" t="s">
        <v>578</v>
      </c>
      <c r="D244" t="str">
        <f>TRIM(Tabulka1[[#This Row],[Jméno]])</f>
        <v>Ivana</v>
      </c>
      <c r="E244" t="str">
        <f>TRIM(Tabulka1[[#This Row],[Příjmení]])</f>
        <v>Schaferova</v>
      </c>
      <c r="F244" s="2" t="str">
        <f>MID(Tabulka1[[#This Row],[Adresa]],1,SEARCH(",",Tabulka1[[#This Row],[Adresa]])-1)</f>
        <v>Kovářská 1718</v>
      </c>
      <c r="G244" s="2" t="str">
        <f>RIGHT(Tabulka1[[#This Row],[Adresa]],LEN(Tabulka1[[#This Row],[Adresa]])-LEN(Tabulka1[[#This Row],[Ulice]])-1)</f>
        <v>Decín 5</v>
      </c>
      <c r="H244" s="2" t="str">
        <f>_xlfn.CONCAT(LOWER(Tabulka1[[#This Row],[příjmení bez mezer]]),".",LOWER(Tabulka1[[#This Row],[Jmeno bez mezer]]),"@firmaabc.cz")</f>
        <v>schaferova.ivana@firmaabc.cz</v>
      </c>
      <c r="I244" s="2" t="str">
        <f>_xlfn.CONCAT(LOWER(LEFT(Tabulka1[[#This Row],[příjmení bez mezer]],3)),UPPER(RIGHT(Tabulka1[[#This Row],[Jmeno bez mezer]],2)))</f>
        <v>schNA</v>
      </c>
      <c r="J244" s="2" t="s">
        <v>1363</v>
      </c>
      <c r="K244" s="2" t="s">
        <v>1761</v>
      </c>
      <c r="L244" s="3" t="s">
        <v>2253</v>
      </c>
    </row>
    <row r="245" spans="1:12" ht="30" x14ac:dyDescent="0.25">
      <c r="A245" s="2" t="s">
        <v>579</v>
      </c>
      <c r="B245" t="s">
        <v>15</v>
      </c>
      <c r="C245" t="s">
        <v>580</v>
      </c>
      <c r="D245" t="str">
        <f>TRIM(Tabulka1[[#This Row],[Jméno]])</f>
        <v>Vladimir</v>
      </c>
      <c r="E245" t="str">
        <f>TRIM(Tabulka1[[#This Row],[Příjmení]])</f>
        <v>Ferko</v>
      </c>
      <c r="F245" s="2" t="str">
        <f>MID(Tabulka1[[#This Row],[Adresa]],1,SEARCH(",",Tabulka1[[#This Row],[Adresa]])-1)</f>
        <v>Družstevní 1364</v>
      </c>
      <c r="G245" s="2" t="str">
        <f>RIGHT(Tabulka1[[#This Row],[Adresa]],LEN(Tabulka1[[#This Row],[Adresa]])-LEN(Tabulka1[[#This Row],[Ulice]])-1)</f>
        <v>Rokycany 1</v>
      </c>
      <c r="H245" s="2" t="str">
        <f>_xlfn.CONCAT(LOWER(Tabulka1[[#This Row],[příjmení bez mezer]]),".",LOWER(Tabulka1[[#This Row],[Jmeno bez mezer]]),"@firmaabc.cz")</f>
        <v>ferko.vladimir@firmaabc.cz</v>
      </c>
      <c r="I245" s="2" t="str">
        <f>_xlfn.CONCAT(LOWER(LEFT(Tabulka1[[#This Row],[příjmení bez mezer]],3)),UPPER(RIGHT(Tabulka1[[#This Row],[Jmeno bez mezer]],2)))</f>
        <v>ferIR</v>
      </c>
      <c r="J245" s="2" t="s">
        <v>1364</v>
      </c>
      <c r="K245" s="2" t="s">
        <v>1829</v>
      </c>
      <c r="L245" s="3" t="s">
        <v>2254</v>
      </c>
    </row>
    <row r="246" spans="1:12" ht="30" x14ac:dyDescent="0.25">
      <c r="A246" s="2" t="s">
        <v>581</v>
      </c>
      <c r="B246" t="s">
        <v>582</v>
      </c>
      <c r="C246" t="s">
        <v>583</v>
      </c>
      <c r="D246" t="str">
        <f>TRIM(Tabulka1[[#This Row],[Jméno]])</f>
        <v>Boleslav</v>
      </c>
      <c r="E246" t="str">
        <f>TRIM(Tabulka1[[#This Row],[Příjmení]])</f>
        <v>Faltus</v>
      </c>
      <c r="F246" s="2" t="str">
        <f>MID(Tabulka1[[#This Row],[Adresa]],1,SEARCH(",",Tabulka1[[#This Row],[Adresa]])-1)</f>
        <v>Spodní Pustá 346</v>
      </c>
      <c r="G246" s="2" t="str">
        <f>RIGHT(Tabulka1[[#This Row],[Adresa]],LEN(Tabulka1[[#This Row],[Adresa]])-LEN(Tabulka1[[#This Row],[Ulice]])-1)</f>
        <v>Hustopece u Brna</v>
      </c>
      <c r="H246" s="2" t="str">
        <f>_xlfn.CONCAT(LOWER(Tabulka1[[#This Row],[příjmení bez mezer]]),".",LOWER(Tabulka1[[#This Row],[Jmeno bez mezer]]),"@firmaabc.cz")</f>
        <v>faltus.boleslav@firmaabc.cz</v>
      </c>
      <c r="I246" s="2" t="str">
        <f>_xlfn.CONCAT(LOWER(LEFT(Tabulka1[[#This Row],[příjmení bez mezer]],3)),UPPER(RIGHT(Tabulka1[[#This Row],[Jmeno bez mezer]],2)))</f>
        <v>falAV</v>
      </c>
      <c r="J246" s="2" t="s">
        <v>1365</v>
      </c>
      <c r="K246" s="2" t="s">
        <v>1830</v>
      </c>
      <c r="L246" s="3" t="s">
        <v>2255</v>
      </c>
    </row>
    <row r="247" spans="1:12" ht="30" x14ac:dyDescent="0.25">
      <c r="A247" s="2" t="s">
        <v>584</v>
      </c>
      <c r="B247" t="s">
        <v>178</v>
      </c>
      <c r="C247" t="s">
        <v>585</v>
      </c>
      <c r="D247" t="str">
        <f>TRIM(Tabulka1[[#This Row],[Jméno]])</f>
        <v>Jaroslav</v>
      </c>
      <c r="E247" t="str">
        <f>TRIM(Tabulka1[[#This Row],[Příjmení]])</f>
        <v>Sladek</v>
      </c>
      <c r="F247" s="2" t="str">
        <f>MID(Tabulka1[[#This Row],[Adresa]],1,SEARCH(",",Tabulka1[[#This Row],[Adresa]])-1)</f>
        <v>Masarykova 448</v>
      </c>
      <c r="G247" s="2" t="str">
        <f>RIGHT(Tabulka1[[#This Row],[Adresa]],LEN(Tabulka1[[#This Row],[Adresa]])-LEN(Tabulka1[[#This Row],[Ulice]])-1)</f>
        <v>Breznice</v>
      </c>
      <c r="H247" s="2" t="str">
        <f>_xlfn.CONCAT(LOWER(Tabulka1[[#This Row],[příjmení bez mezer]]),".",LOWER(Tabulka1[[#This Row],[Jmeno bez mezer]]),"@firmaabc.cz")</f>
        <v>sladek.jaroslav@firmaabc.cz</v>
      </c>
      <c r="I247" s="2" t="str">
        <f>_xlfn.CONCAT(LOWER(LEFT(Tabulka1[[#This Row],[příjmení bez mezer]],3)),UPPER(RIGHT(Tabulka1[[#This Row],[Jmeno bez mezer]],2)))</f>
        <v>slaAV</v>
      </c>
      <c r="J247" s="2" t="s">
        <v>1366</v>
      </c>
      <c r="K247" s="2" t="s">
        <v>1710</v>
      </c>
      <c r="L247" s="3" t="s">
        <v>2256</v>
      </c>
    </row>
    <row r="248" spans="1:12" ht="30" x14ac:dyDescent="0.25">
      <c r="A248" s="2" t="s">
        <v>586</v>
      </c>
      <c r="B248" t="s">
        <v>145</v>
      </c>
      <c r="C248" t="s">
        <v>587</v>
      </c>
      <c r="D248" t="str">
        <f>TRIM(Tabulka1[[#This Row],[Jméno]])</f>
        <v>Hana</v>
      </c>
      <c r="E248" t="str">
        <f>TRIM(Tabulka1[[#This Row],[Příjmení]])</f>
        <v>Juricova</v>
      </c>
      <c r="F248" s="2" t="str">
        <f>MID(Tabulka1[[#This Row],[Adresa]],1,SEARCH(",",Tabulka1[[#This Row],[Adresa]])-1)</f>
        <v>Hálkova 1533</v>
      </c>
      <c r="G248" s="2" t="str">
        <f>RIGHT(Tabulka1[[#This Row],[Adresa]],LEN(Tabulka1[[#This Row],[Adresa]])-LEN(Tabulka1[[#This Row],[Ulice]])-1)</f>
        <v>Volfartice</v>
      </c>
      <c r="H248" s="2" t="str">
        <f>_xlfn.CONCAT(LOWER(Tabulka1[[#This Row],[příjmení bez mezer]]),".",LOWER(Tabulka1[[#This Row],[Jmeno bez mezer]]),"@firmaabc.cz")</f>
        <v>juricova.hana@firmaabc.cz</v>
      </c>
      <c r="I248" s="2" t="str">
        <f>_xlfn.CONCAT(LOWER(LEFT(Tabulka1[[#This Row],[příjmení bez mezer]],3)),UPPER(RIGHT(Tabulka1[[#This Row],[Jmeno bez mezer]],2)))</f>
        <v>jurNA</v>
      </c>
      <c r="J248" s="2" t="s">
        <v>1367</v>
      </c>
      <c r="K248" s="2" t="s">
        <v>1831</v>
      </c>
      <c r="L248" s="3" t="s">
        <v>2257</v>
      </c>
    </row>
    <row r="249" spans="1:12" ht="45" x14ac:dyDescent="0.25">
      <c r="A249" s="2" t="s">
        <v>588</v>
      </c>
      <c r="B249" t="s">
        <v>85</v>
      </c>
      <c r="C249" t="s">
        <v>187</v>
      </c>
      <c r="D249" t="str">
        <f>TRIM(Tabulka1[[#This Row],[Jméno]])</f>
        <v>Martin</v>
      </c>
      <c r="E249" t="str">
        <f>TRIM(Tabulka1[[#This Row],[Příjmení]])</f>
        <v>Jelinek</v>
      </c>
      <c r="F249" s="2" t="str">
        <f>MID(Tabulka1[[#This Row],[Adresa]],1,SEARCH(",",Tabulka1[[#This Row],[Adresa]])-1)</f>
        <v>Pod Floriánem 514</v>
      </c>
      <c r="G249" s="2" t="str">
        <f>RIGHT(Tabulka1[[#This Row],[Adresa]],LEN(Tabulka1[[#This Row],[Adresa]])-LEN(Tabulka1[[#This Row],[Ulice]])-1)</f>
        <v>Pelhrimov</v>
      </c>
      <c r="H249" s="2" t="str">
        <f>_xlfn.CONCAT(LOWER(Tabulka1[[#This Row],[příjmení bez mezer]]),".",LOWER(Tabulka1[[#This Row],[Jmeno bez mezer]]),"@firmaabc.cz")</f>
        <v>jelinek.martin@firmaabc.cz</v>
      </c>
      <c r="I249" s="2" t="str">
        <f>_xlfn.CONCAT(LOWER(LEFT(Tabulka1[[#This Row],[příjmení bez mezer]],3)),UPPER(RIGHT(Tabulka1[[#This Row],[Jmeno bez mezer]],2)))</f>
        <v>jelIN</v>
      </c>
      <c r="J249" s="2" t="s">
        <v>1368</v>
      </c>
      <c r="K249" s="2" t="s">
        <v>1832</v>
      </c>
      <c r="L249" s="3" t="s">
        <v>2258</v>
      </c>
    </row>
    <row r="250" spans="1:12" x14ac:dyDescent="0.25">
      <c r="A250" s="2" t="s">
        <v>589</v>
      </c>
      <c r="B250" t="s">
        <v>590</v>
      </c>
      <c r="C250" t="s">
        <v>591</v>
      </c>
      <c r="D250" t="str">
        <f>TRIM(Tabulka1[[#This Row],[Jméno]])</f>
        <v>Kristyna</v>
      </c>
      <c r="E250" t="str">
        <f>TRIM(Tabulka1[[#This Row],[Příjmení]])</f>
        <v>Vostrelova</v>
      </c>
      <c r="F250" s="2" t="str">
        <f>MID(Tabulka1[[#This Row],[Adresa]],1,SEARCH(",",Tabulka1[[#This Row],[Adresa]])-1)</f>
        <v>Polní 1480</v>
      </c>
      <c r="G250" s="2" t="str">
        <f>RIGHT(Tabulka1[[#This Row],[Adresa]],LEN(Tabulka1[[#This Row],[Adresa]])-LEN(Tabulka1[[#This Row],[Ulice]])-1)</f>
        <v>Bezverov</v>
      </c>
      <c r="H250" s="2" t="str">
        <f>_xlfn.CONCAT(LOWER(Tabulka1[[#This Row],[příjmení bez mezer]]),".",LOWER(Tabulka1[[#This Row],[Jmeno bez mezer]]),"@firmaabc.cz")</f>
        <v>vostrelova.kristyna@firmaabc.cz</v>
      </c>
      <c r="I250" s="2" t="str">
        <f>_xlfn.CONCAT(LOWER(LEFT(Tabulka1[[#This Row],[příjmení bez mezer]],3)),UPPER(RIGHT(Tabulka1[[#This Row],[Jmeno bez mezer]],2)))</f>
        <v>vosNA</v>
      </c>
      <c r="J250" s="2" t="s">
        <v>1369</v>
      </c>
      <c r="K250" s="2" t="s">
        <v>1833</v>
      </c>
      <c r="L250" s="3" t="s">
        <v>2259</v>
      </c>
    </row>
    <row r="251" spans="1:12" ht="30" x14ac:dyDescent="0.25">
      <c r="A251" s="2" t="s">
        <v>592</v>
      </c>
      <c r="B251" t="s">
        <v>410</v>
      </c>
      <c r="C251" t="s">
        <v>593</v>
      </c>
      <c r="D251" t="str">
        <f>TRIM(Tabulka1[[#This Row],[Jméno]])</f>
        <v>Michaela</v>
      </c>
      <c r="E251" t="str">
        <f>TRIM(Tabulka1[[#This Row],[Příjmení]])</f>
        <v>Kolarova</v>
      </c>
      <c r="F251" s="2" t="str">
        <f>MID(Tabulka1[[#This Row],[Adresa]],1,SEARCH(",",Tabulka1[[#This Row],[Adresa]])-1)</f>
        <v>Vrchlického 857</v>
      </c>
      <c r="G251" s="2" t="str">
        <f>RIGHT(Tabulka1[[#This Row],[Adresa]],LEN(Tabulka1[[#This Row],[Adresa]])-LEN(Tabulka1[[#This Row],[Ulice]])-1)</f>
        <v>Tišnov 3</v>
      </c>
      <c r="H251" s="2" t="str">
        <f>_xlfn.CONCAT(LOWER(Tabulka1[[#This Row],[příjmení bez mezer]]),".",LOWER(Tabulka1[[#This Row],[Jmeno bez mezer]]),"@firmaabc.cz")</f>
        <v>kolarova.michaela@firmaabc.cz</v>
      </c>
      <c r="I251" s="2" t="str">
        <f>_xlfn.CONCAT(LOWER(LEFT(Tabulka1[[#This Row],[příjmení bez mezer]],3)),UPPER(RIGHT(Tabulka1[[#This Row],[Jmeno bez mezer]],2)))</f>
        <v>kolLA</v>
      </c>
      <c r="J251" s="2" t="s">
        <v>1370</v>
      </c>
      <c r="K251" s="2" t="s">
        <v>1834</v>
      </c>
      <c r="L251" s="3" t="s">
        <v>2260</v>
      </c>
    </row>
    <row r="252" spans="1:12" x14ac:dyDescent="0.25">
      <c r="A252" s="2" t="s">
        <v>594</v>
      </c>
      <c r="B252" t="s">
        <v>178</v>
      </c>
      <c r="C252" t="s">
        <v>595</v>
      </c>
      <c r="D252" t="str">
        <f>TRIM(Tabulka1[[#This Row],[Jméno]])</f>
        <v>Jaroslav</v>
      </c>
      <c r="E252" t="str">
        <f>TRIM(Tabulka1[[#This Row],[Příjmení]])</f>
        <v>Slezak</v>
      </c>
      <c r="F252" s="2" t="str">
        <f>MID(Tabulka1[[#This Row],[Adresa]],1,SEARCH(",",Tabulka1[[#This Row],[Adresa]])-1)</f>
        <v>U Trati 1523</v>
      </c>
      <c r="G252" s="2" t="str">
        <f>RIGHT(Tabulka1[[#This Row],[Adresa]],LEN(Tabulka1[[#This Row],[Adresa]])-LEN(Tabulka1[[#This Row],[Ulice]])-1)</f>
        <v>Sušice 1</v>
      </c>
      <c r="H252" s="2" t="str">
        <f>_xlfn.CONCAT(LOWER(Tabulka1[[#This Row],[příjmení bez mezer]]),".",LOWER(Tabulka1[[#This Row],[Jmeno bez mezer]]),"@firmaabc.cz")</f>
        <v>slezak.jaroslav@firmaabc.cz</v>
      </c>
      <c r="I252" s="2" t="str">
        <f>_xlfn.CONCAT(LOWER(LEFT(Tabulka1[[#This Row],[příjmení bez mezer]],3)),UPPER(RIGHT(Tabulka1[[#This Row],[Jmeno bez mezer]],2)))</f>
        <v>sleAV</v>
      </c>
      <c r="J252" s="2" t="s">
        <v>1371</v>
      </c>
      <c r="K252" s="2" t="s">
        <v>1835</v>
      </c>
      <c r="L252" s="3" t="s">
        <v>2261</v>
      </c>
    </row>
    <row r="253" spans="1:12" ht="45" x14ac:dyDescent="0.25">
      <c r="A253" s="2" t="s">
        <v>596</v>
      </c>
      <c r="B253" t="s">
        <v>24</v>
      </c>
      <c r="C253" t="s">
        <v>597</v>
      </c>
      <c r="D253" t="str">
        <f>TRIM(Tabulka1[[#This Row],[Jméno]])</f>
        <v>Jan</v>
      </c>
      <c r="E253" t="str">
        <f>TRIM(Tabulka1[[#This Row],[Příjmení]])</f>
        <v>Sibor</v>
      </c>
      <c r="F253" s="2" t="str">
        <f>MID(Tabulka1[[#This Row],[Adresa]],1,SEARCH(",",Tabulka1[[#This Row],[Adresa]])-1)</f>
        <v>Na Loučkách 1458</v>
      </c>
      <c r="G253" s="2" t="str">
        <f>RIGHT(Tabulka1[[#This Row],[Adresa]],LEN(Tabulka1[[#This Row],[Adresa]])-LEN(Tabulka1[[#This Row],[Ulice]])-1)</f>
        <v>Adamov 1</v>
      </c>
      <c r="H253" s="2" t="str">
        <f>_xlfn.CONCAT(LOWER(Tabulka1[[#This Row],[příjmení bez mezer]]),".",LOWER(Tabulka1[[#This Row],[Jmeno bez mezer]]),"@firmaabc.cz")</f>
        <v>sibor.jan@firmaabc.cz</v>
      </c>
      <c r="I253" s="2" t="str">
        <f>_xlfn.CONCAT(LOWER(LEFT(Tabulka1[[#This Row],[příjmení bez mezer]],3)),UPPER(RIGHT(Tabulka1[[#This Row],[Jmeno bez mezer]],2)))</f>
        <v>sibAN</v>
      </c>
      <c r="J253" s="2" t="s">
        <v>1372</v>
      </c>
      <c r="K253" s="2" t="s">
        <v>1836</v>
      </c>
      <c r="L253" s="3" t="s">
        <v>2262</v>
      </c>
    </row>
    <row r="254" spans="1:12" ht="30" x14ac:dyDescent="0.25">
      <c r="A254" s="2" t="s">
        <v>598</v>
      </c>
      <c r="B254" t="s">
        <v>64</v>
      </c>
      <c r="C254" t="s">
        <v>599</v>
      </c>
      <c r="D254" t="str">
        <f>TRIM(Tabulka1[[#This Row],[Jméno]])</f>
        <v>Karel</v>
      </c>
      <c r="E254" t="str">
        <f>TRIM(Tabulka1[[#This Row],[Příjmení]])</f>
        <v>Kalenda</v>
      </c>
      <c r="F254" s="2" t="str">
        <f>MID(Tabulka1[[#This Row],[Adresa]],1,SEARCH(",",Tabulka1[[#This Row],[Adresa]])-1)</f>
        <v>Bartákova 1114</v>
      </c>
      <c r="G254" s="2" t="str">
        <f>RIGHT(Tabulka1[[#This Row],[Adresa]],LEN(Tabulka1[[#This Row],[Adresa]])-LEN(Tabulka1[[#This Row],[Ulice]])-1)</f>
        <v>Dvorce u Bruntálu</v>
      </c>
      <c r="H254" s="2" t="str">
        <f>_xlfn.CONCAT(LOWER(Tabulka1[[#This Row],[příjmení bez mezer]]),".",LOWER(Tabulka1[[#This Row],[Jmeno bez mezer]]),"@firmaabc.cz")</f>
        <v>kalenda.karel@firmaabc.cz</v>
      </c>
      <c r="I254" s="2" t="str">
        <f>_xlfn.CONCAT(LOWER(LEFT(Tabulka1[[#This Row],[příjmení bez mezer]],3)),UPPER(RIGHT(Tabulka1[[#This Row],[Jmeno bez mezer]],2)))</f>
        <v>kalEL</v>
      </c>
      <c r="J254" s="2" t="s">
        <v>1373</v>
      </c>
      <c r="K254" s="2" t="s">
        <v>1837</v>
      </c>
      <c r="L254" s="3" t="s">
        <v>2263</v>
      </c>
    </row>
    <row r="255" spans="1:12" ht="30" x14ac:dyDescent="0.25">
      <c r="A255" s="2" t="s">
        <v>600</v>
      </c>
      <c r="B255" t="s">
        <v>170</v>
      </c>
      <c r="C255" t="s">
        <v>601</v>
      </c>
      <c r="D255" t="str">
        <f>TRIM(Tabulka1[[#This Row],[Jméno]])</f>
        <v>David</v>
      </c>
      <c r="E255" t="str">
        <f>TRIM(Tabulka1[[#This Row],[Příjmení]])</f>
        <v>Kutalek</v>
      </c>
      <c r="F255" s="2" t="str">
        <f>MID(Tabulka1[[#This Row],[Adresa]],1,SEARCH(",",Tabulka1[[#This Row],[Adresa]])-1)</f>
        <v>U divadla 1831</v>
      </c>
      <c r="G255" s="2" t="str">
        <f>RIGHT(Tabulka1[[#This Row],[Adresa]],LEN(Tabulka1[[#This Row],[Adresa]])-LEN(Tabulka1[[#This Row],[Ulice]])-1)</f>
        <v>Teplice 1</v>
      </c>
      <c r="H255" s="2" t="str">
        <f>_xlfn.CONCAT(LOWER(Tabulka1[[#This Row],[příjmení bez mezer]]),".",LOWER(Tabulka1[[#This Row],[Jmeno bez mezer]]),"@firmaabc.cz")</f>
        <v>kutalek.david@firmaabc.cz</v>
      </c>
      <c r="I255" s="2" t="str">
        <f>_xlfn.CONCAT(LOWER(LEFT(Tabulka1[[#This Row],[příjmení bez mezer]],3)),UPPER(RIGHT(Tabulka1[[#This Row],[Jmeno bez mezer]],2)))</f>
        <v>kutID</v>
      </c>
      <c r="J255" s="2" t="s">
        <v>1374</v>
      </c>
      <c r="K255" s="2" t="s">
        <v>1838</v>
      </c>
      <c r="L255" s="3" t="s">
        <v>2264</v>
      </c>
    </row>
    <row r="256" spans="1:12" ht="30" x14ac:dyDescent="0.25">
      <c r="A256" s="2" t="s">
        <v>602</v>
      </c>
      <c r="B256" t="s">
        <v>603</v>
      </c>
      <c r="C256" t="s">
        <v>604</v>
      </c>
      <c r="D256" t="str">
        <f>TRIM(Tabulka1[[#This Row],[Jméno]])</f>
        <v>Viktorie</v>
      </c>
      <c r="E256" t="str">
        <f>TRIM(Tabulka1[[#This Row],[Příjmení]])</f>
        <v>Sykorova</v>
      </c>
      <c r="F256" s="2" t="str">
        <f>MID(Tabulka1[[#This Row],[Adresa]],1,SEARCH(",",Tabulka1[[#This Row],[Adresa]])-1)</f>
        <v>Lidická 1330</v>
      </c>
      <c r="G256" s="2" t="str">
        <f>RIGHT(Tabulka1[[#This Row],[Adresa]],LEN(Tabulka1[[#This Row],[Adresa]])-LEN(Tabulka1[[#This Row],[Ulice]])-1)</f>
        <v>Litomyšl</v>
      </c>
      <c r="H256" s="2" t="str">
        <f>_xlfn.CONCAT(LOWER(Tabulka1[[#This Row],[příjmení bez mezer]]),".",LOWER(Tabulka1[[#This Row],[Jmeno bez mezer]]),"@firmaabc.cz")</f>
        <v>sykorova.viktorie@firmaabc.cz</v>
      </c>
      <c r="I256" s="2" t="str">
        <f>_xlfn.CONCAT(LOWER(LEFT(Tabulka1[[#This Row],[příjmení bez mezer]],3)),UPPER(RIGHT(Tabulka1[[#This Row],[Jmeno bez mezer]],2)))</f>
        <v>sykIE</v>
      </c>
      <c r="J256" s="2" t="s">
        <v>1375</v>
      </c>
      <c r="K256" s="2" t="s">
        <v>1775</v>
      </c>
      <c r="L256" s="3" t="s">
        <v>2265</v>
      </c>
    </row>
    <row r="257" spans="1:12" ht="60" x14ac:dyDescent="0.25">
      <c r="A257" s="2" t="s">
        <v>605</v>
      </c>
      <c r="B257" t="s">
        <v>79</v>
      </c>
      <c r="C257" t="s">
        <v>318</v>
      </c>
      <c r="D257" t="str">
        <f>TRIM(Tabulka1[[#This Row],[Jméno]])</f>
        <v>Miroslav</v>
      </c>
      <c r="E257" t="str">
        <f>TRIM(Tabulka1[[#This Row],[Příjmení]])</f>
        <v>?Svoboda</v>
      </c>
      <c r="F257" s="2" t="str">
        <f>MID(Tabulka1[[#This Row],[Adresa]],1,SEARCH(",",Tabulka1[[#This Row],[Adresa]])-1)</f>
        <v>Pod Strání 1958</v>
      </c>
      <c r="G257" s="2" t="str">
        <f>RIGHT(Tabulka1[[#This Row],[Adresa]],LEN(Tabulka1[[#This Row],[Adresa]])-LEN(Tabulka1[[#This Row],[Ulice]])-1)</f>
        <v>Dvur Králové nad Labem</v>
      </c>
      <c r="H257" s="2" t="str">
        <f>_xlfn.CONCAT(LOWER(Tabulka1[[#This Row],[příjmení bez mezer]]),".",LOWER(Tabulka1[[#This Row],[Jmeno bez mezer]]),"@firmaabc.cz")</f>
        <v>?svoboda.miroslav@firmaabc.cz</v>
      </c>
      <c r="I257" s="2" t="str">
        <f>_xlfn.CONCAT(LOWER(LEFT(Tabulka1[[#This Row],[příjmení bez mezer]],3)),UPPER(RIGHT(Tabulka1[[#This Row],[Jmeno bez mezer]],2)))</f>
        <v>?svAV</v>
      </c>
      <c r="J257" s="2" t="s">
        <v>1376</v>
      </c>
      <c r="K257" s="2" t="s">
        <v>1839</v>
      </c>
      <c r="L257" s="3" t="s">
        <v>2266</v>
      </c>
    </row>
    <row r="258" spans="1:12" ht="30" x14ac:dyDescent="0.25">
      <c r="A258" s="2" t="s">
        <v>606</v>
      </c>
      <c r="B258" t="s">
        <v>170</v>
      </c>
      <c r="C258" t="s">
        <v>607</v>
      </c>
      <c r="D258" t="str">
        <f>TRIM(Tabulka1[[#This Row],[Jméno]])</f>
        <v>David</v>
      </c>
      <c r="E258" t="str">
        <f>TRIM(Tabulka1[[#This Row],[Příjmení]])</f>
        <v>Hartl</v>
      </c>
      <c r="F258" s="2" t="str">
        <f>MID(Tabulka1[[#This Row],[Adresa]],1,SEARCH(",",Tabulka1[[#This Row],[Adresa]])-1)</f>
        <v>Tylova 83</v>
      </c>
      <c r="G258" s="2" t="str">
        <f>RIGHT(Tabulka1[[#This Row],[Adresa]],LEN(Tabulka1[[#This Row],[Adresa]])-LEN(Tabulka1[[#This Row],[Ulice]])-1)</f>
        <v>Hroznetín</v>
      </c>
      <c r="H258" s="2" t="str">
        <f>_xlfn.CONCAT(LOWER(Tabulka1[[#This Row],[příjmení bez mezer]]),".",LOWER(Tabulka1[[#This Row],[Jmeno bez mezer]]),"@firmaabc.cz")</f>
        <v>hartl.david@firmaabc.cz</v>
      </c>
      <c r="I258" s="2" t="str">
        <f>_xlfn.CONCAT(LOWER(LEFT(Tabulka1[[#This Row],[příjmení bez mezer]],3)),UPPER(RIGHT(Tabulka1[[#This Row],[Jmeno bez mezer]],2)))</f>
        <v>harID</v>
      </c>
      <c r="J258" s="2" t="s">
        <v>1377</v>
      </c>
      <c r="K258" s="2" t="s">
        <v>1840</v>
      </c>
      <c r="L258" s="3" t="s">
        <v>2267</v>
      </c>
    </row>
    <row r="259" spans="1:12" ht="30" x14ac:dyDescent="0.25">
      <c r="A259" s="2" t="s">
        <v>608</v>
      </c>
      <c r="B259" t="s">
        <v>308</v>
      </c>
      <c r="C259" t="s">
        <v>609</v>
      </c>
      <c r="D259" t="str">
        <f>TRIM(Tabulka1[[#This Row],[Jméno]])</f>
        <v>Stanislav</v>
      </c>
      <c r="E259" t="str">
        <f>TRIM(Tabulka1[[#This Row],[Příjmení]])</f>
        <v>Kula</v>
      </c>
      <c r="F259" s="2" t="str">
        <f>MID(Tabulka1[[#This Row],[Adresa]],1,SEARCH(",",Tabulka1[[#This Row],[Adresa]])-1)</f>
        <v>Jiráskova 237</v>
      </c>
      <c r="G259" s="2" t="str">
        <f>RIGHT(Tabulka1[[#This Row],[Adresa]],LEN(Tabulka1[[#This Row],[Adresa]])-LEN(Tabulka1[[#This Row],[Ulice]])-1)</f>
        <v>Slatinany</v>
      </c>
      <c r="H259" s="2" t="str">
        <f>_xlfn.CONCAT(LOWER(Tabulka1[[#This Row],[příjmení bez mezer]]),".",LOWER(Tabulka1[[#This Row],[Jmeno bez mezer]]),"@firmaabc.cz")</f>
        <v>kula.stanislav@firmaabc.cz</v>
      </c>
      <c r="I259" s="2" t="str">
        <f>_xlfn.CONCAT(LOWER(LEFT(Tabulka1[[#This Row],[příjmení bez mezer]],3)),UPPER(RIGHT(Tabulka1[[#This Row],[Jmeno bez mezer]],2)))</f>
        <v>kulAV</v>
      </c>
      <c r="J259" s="2" t="s">
        <v>1378</v>
      </c>
      <c r="K259" s="2" t="s">
        <v>1749</v>
      </c>
      <c r="L259" s="3" t="s">
        <v>2268</v>
      </c>
    </row>
    <row r="260" spans="1:12" ht="30" x14ac:dyDescent="0.25">
      <c r="A260" s="2" t="s">
        <v>610</v>
      </c>
      <c r="B260" t="s">
        <v>15</v>
      </c>
      <c r="C260" t="s">
        <v>611</v>
      </c>
      <c r="D260" t="str">
        <f>TRIM(Tabulka1[[#This Row],[Jméno]])</f>
        <v>Vladimir</v>
      </c>
      <c r="E260" t="str">
        <f>TRIM(Tabulka1[[#This Row],[Příjmení]])</f>
        <v>Mestan</v>
      </c>
      <c r="F260" s="2" t="str">
        <f>MID(Tabulka1[[#This Row],[Adresa]],1,SEARCH(",",Tabulka1[[#This Row],[Adresa]])-1)</f>
        <v>Budovatelská 1033</v>
      </c>
      <c r="G260" s="2" t="str">
        <f>RIGHT(Tabulka1[[#This Row],[Adresa]],LEN(Tabulka1[[#This Row],[Adresa]])-LEN(Tabulka1[[#This Row],[Ulice]])-1)</f>
        <v>Bavorov</v>
      </c>
      <c r="H260" s="2" t="str">
        <f>_xlfn.CONCAT(LOWER(Tabulka1[[#This Row],[příjmení bez mezer]]),".",LOWER(Tabulka1[[#This Row],[Jmeno bez mezer]]),"@firmaabc.cz")</f>
        <v>mestan.vladimir@firmaabc.cz</v>
      </c>
      <c r="I260" s="2" t="str">
        <f>_xlfn.CONCAT(LOWER(LEFT(Tabulka1[[#This Row],[příjmení bez mezer]],3)),UPPER(RIGHT(Tabulka1[[#This Row],[Jmeno bez mezer]],2)))</f>
        <v>mesIR</v>
      </c>
      <c r="J260" s="2" t="s">
        <v>1379</v>
      </c>
      <c r="K260" s="2" t="s">
        <v>1841</v>
      </c>
      <c r="L260" s="3" t="s">
        <v>2269</v>
      </c>
    </row>
    <row r="261" spans="1:12" x14ac:dyDescent="0.25">
      <c r="A261" s="2" t="s">
        <v>612</v>
      </c>
      <c r="B261" t="s">
        <v>101</v>
      </c>
      <c r="C261" t="s">
        <v>613</v>
      </c>
      <c r="D261" t="str">
        <f>TRIM(Tabulka1[[#This Row],[Jméno]])</f>
        <v>Frantisek</v>
      </c>
      <c r="E261" t="str">
        <f>TRIM(Tabulka1[[#This Row],[Příjmení]])</f>
        <v>Sadovsky</v>
      </c>
      <c r="F261" s="2" t="str">
        <f>MID(Tabulka1[[#This Row],[Adresa]],1,SEARCH(",",Tabulka1[[#This Row],[Adresa]])-1)</f>
        <v>Luční 1400</v>
      </c>
      <c r="G261" s="2" t="str">
        <f>RIGHT(Tabulka1[[#This Row],[Adresa]],LEN(Tabulka1[[#This Row],[Adresa]])-LEN(Tabulka1[[#This Row],[Ulice]])-1)</f>
        <v>Rovecné</v>
      </c>
      <c r="H261" s="2" t="str">
        <f>_xlfn.CONCAT(LOWER(Tabulka1[[#This Row],[příjmení bez mezer]]),".",LOWER(Tabulka1[[#This Row],[Jmeno bez mezer]]),"@firmaabc.cz")</f>
        <v>sadovsky.frantisek@firmaabc.cz</v>
      </c>
      <c r="I261" s="2" t="str">
        <f>_xlfn.CONCAT(LOWER(LEFT(Tabulka1[[#This Row],[příjmení bez mezer]],3)),UPPER(RIGHT(Tabulka1[[#This Row],[Jmeno bez mezer]],2)))</f>
        <v>sadEK</v>
      </c>
      <c r="J261" s="2" t="s">
        <v>1380</v>
      </c>
      <c r="K261" s="2" t="s">
        <v>1709</v>
      </c>
      <c r="L261" s="3" t="s">
        <v>2270</v>
      </c>
    </row>
    <row r="262" spans="1:12" ht="45" x14ac:dyDescent="0.25">
      <c r="A262" s="2" t="s">
        <v>614</v>
      </c>
      <c r="B262" t="s">
        <v>615</v>
      </c>
      <c r="C262" t="s">
        <v>616</v>
      </c>
      <c r="D262" t="str">
        <f>TRIM(Tabulka1[[#This Row],[Jméno]])</f>
        <v>Nikola</v>
      </c>
      <c r="E262" t="str">
        <f>TRIM(Tabulka1[[#This Row],[Příjmení]])</f>
        <v>Pinkasova</v>
      </c>
      <c r="F262" s="2" t="str">
        <f>MID(Tabulka1[[#This Row],[Adresa]],1,SEARCH(",",Tabulka1[[#This Row],[Adresa]])-1)</f>
        <v>Jindřichova 126</v>
      </c>
      <c r="G262" s="2" t="str">
        <f>RIGHT(Tabulka1[[#This Row],[Adresa]],LEN(Tabulka1[[#This Row],[Adresa]])-LEN(Tabulka1[[#This Row],[Ulice]])-1)</f>
        <v>Jindrichuv Hradec 1</v>
      </c>
      <c r="H262" s="2" t="str">
        <f>_xlfn.CONCAT(LOWER(Tabulka1[[#This Row],[příjmení bez mezer]]),".",LOWER(Tabulka1[[#This Row],[Jmeno bez mezer]]),"@firmaabc.cz")</f>
        <v>pinkasova.nikola@firmaabc.cz</v>
      </c>
      <c r="I262" s="2" t="str">
        <f>_xlfn.CONCAT(LOWER(LEFT(Tabulka1[[#This Row],[příjmení bez mezer]],3)),UPPER(RIGHT(Tabulka1[[#This Row],[Jmeno bez mezer]],2)))</f>
        <v>pinLA</v>
      </c>
      <c r="J262" s="2" t="s">
        <v>1381</v>
      </c>
      <c r="K262" s="2" t="s">
        <v>1842</v>
      </c>
      <c r="L262" s="3" t="s">
        <v>2271</v>
      </c>
    </row>
    <row r="263" spans="1:12" ht="30" x14ac:dyDescent="0.25">
      <c r="A263" s="2" t="s">
        <v>617</v>
      </c>
      <c r="B263" t="s">
        <v>279</v>
      </c>
      <c r="C263" t="s">
        <v>618</v>
      </c>
      <c r="D263" t="str">
        <f>TRIM(Tabulka1[[#This Row],[Jméno]])</f>
        <v>Zaneta</v>
      </c>
      <c r="E263" t="str">
        <f>TRIM(Tabulka1[[#This Row],[Příjmení]])</f>
        <v>Frohlichova</v>
      </c>
      <c r="F263" s="2" t="str">
        <f>MID(Tabulka1[[#This Row],[Adresa]],1,SEARCH(",",Tabulka1[[#This Row],[Adresa]])-1)</f>
        <v>Sluneční 1790</v>
      </c>
      <c r="G263" s="2" t="str">
        <f>RIGHT(Tabulka1[[#This Row],[Adresa]],LEN(Tabulka1[[#This Row],[Adresa]])-LEN(Tabulka1[[#This Row],[Ulice]])-1)</f>
        <v>Velké Heraltice</v>
      </c>
      <c r="H263" s="2" t="str">
        <f>_xlfn.CONCAT(LOWER(Tabulka1[[#This Row],[příjmení bez mezer]]),".",LOWER(Tabulka1[[#This Row],[Jmeno bez mezer]]),"@firmaabc.cz")</f>
        <v>frohlichova.zaneta@firmaabc.cz</v>
      </c>
      <c r="I263" s="2" t="str">
        <f>_xlfn.CONCAT(LOWER(LEFT(Tabulka1[[#This Row],[příjmení bez mezer]],3)),UPPER(RIGHT(Tabulka1[[#This Row],[Jmeno bez mezer]],2)))</f>
        <v>froTA</v>
      </c>
      <c r="J263" s="2" t="s">
        <v>1382</v>
      </c>
      <c r="K263" s="2" t="s">
        <v>1843</v>
      </c>
      <c r="L263" s="3" t="s">
        <v>2272</v>
      </c>
    </row>
    <row r="264" spans="1:12" ht="60" x14ac:dyDescent="0.25">
      <c r="A264" s="2" t="s">
        <v>619</v>
      </c>
      <c r="B264" t="s">
        <v>30</v>
      </c>
      <c r="C264" t="s">
        <v>620</v>
      </c>
      <c r="D264" t="str">
        <f>TRIM(Tabulka1[[#This Row],[Jméno]])</f>
        <v>Michal</v>
      </c>
      <c r="E264" t="str">
        <f>TRIM(Tabulka1[[#This Row],[Příjmení]])</f>
        <v>Radil</v>
      </c>
      <c r="F264" s="2" t="str">
        <f>MID(Tabulka1[[#This Row],[Adresa]],1,SEARCH(",",Tabulka1[[#This Row],[Adresa]])-1)</f>
        <v>Luční 1528</v>
      </c>
      <c r="G264" s="2" t="str">
        <f>RIGHT(Tabulka1[[#This Row],[Adresa]],LEN(Tabulka1[[#This Row],[Adresa]])-LEN(Tabulka1[[#This Row],[Ulice]])-1)</f>
        <v>Bystrice nad Pernštejnem</v>
      </c>
      <c r="H264" s="2" t="str">
        <f>_xlfn.CONCAT(LOWER(Tabulka1[[#This Row],[příjmení bez mezer]]),".",LOWER(Tabulka1[[#This Row],[Jmeno bez mezer]]),"@firmaabc.cz")</f>
        <v>radil.michal@firmaabc.cz</v>
      </c>
      <c r="I264" s="2" t="str">
        <f>_xlfn.CONCAT(LOWER(LEFT(Tabulka1[[#This Row],[příjmení bez mezer]],3)),UPPER(RIGHT(Tabulka1[[#This Row],[Jmeno bez mezer]],2)))</f>
        <v>radAL</v>
      </c>
      <c r="J264" s="2" t="s">
        <v>1383</v>
      </c>
      <c r="K264" s="2" t="s">
        <v>1844</v>
      </c>
      <c r="L264" s="3" t="s">
        <v>2273</v>
      </c>
    </row>
    <row r="265" spans="1:12" ht="30" x14ac:dyDescent="0.25">
      <c r="A265" s="2" t="s">
        <v>621</v>
      </c>
      <c r="B265" t="s">
        <v>622</v>
      </c>
      <c r="C265" t="s">
        <v>623</v>
      </c>
      <c r="D265" t="str">
        <f>TRIM(Tabulka1[[#This Row],[Jméno]])</f>
        <v>Patrik</v>
      </c>
      <c r="E265" t="str">
        <f>TRIM(Tabulka1[[#This Row],[Příjmení]])</f>
        <v>Kapoun</v>
      </c>
      <c r="F265" s="2" t="str">
        <f>MID(Tabulka1[[#This Row],[Adresa]],1,SEARCH(",",Tabulka1[[#This Row],[Adresa]])-1)</f>
        <v>Tyršova 1887</v>
      </c>
      <c r="G265" s="2" t="str">
        <f>RIGHT(Tabulka1[[#This Row],[Adresa]],LEN(Tabulka1[[#This Row],[Adresa]])-LEN(Tabulka1[[#This Row],[Ulice]])-1)</f>
        <v>Strmilov</v>
      </c>
      <c r="H265" s="2" t="str">
        <f>_xlfn.CONCAT(LOWER(Tabulka1[[#This Row],[příjmení bez mezer]]),".",LOWER(Tabulka1[[#This Row],[Jmeno bez mezer]]),"@firmaabc.cz")</f>
        <v>kapoun.patrik@firmaabc.cz</v>
      </c>
      <c r="I265" s="2" t="str">
        <f>_xlfn.CONCAT(LOWER(LEFT(Tabulka1[[#This Row],[příjmení bez mezer]],3)),UPPER(RIGHT(Tabulka1[[#This Row],[Jmeno bez mezer]],2)))</f>
        <v>kapIK</v>
      </c>
      <c r="J265" s="2" t="s">
        <v>1384</v>
      </c>
      <c r="K265" s="2" t="s">
        <v>1845</v>
      </c>
      <c r="L265" s="3" t="s">
        <v>2274</v>
      </c>
    </row>
    <row r="266" spans="1:12" ht="30" x14ac:dyDescent="0.25">
      <c r="A266" s="2" t="s">
        <v>624</v>
      </c>
      <c r="B266" t="s">
        <v>456</v>
      </c>
      <c r="C266" t="s">
        <v>625</v>
      </c>
      <c r="D266" t="str">
        <f>TRIM(Tabulka1[[#This Row],[Jméno]])</f>
        <v>Libor</v>
      </c>
      <c r="E266" t="str">
        <f>TRIM(Tabulka1[[#This Row],[Příjmení]])</f>
        <v>Kocourek</v>
      </c>
      <c r="F266" s="2" t="str">
        <f>MID(Tabulka1[[#This Row],[Adresa]],1,SEARCH(",",Tabulka1[[#This Row],[Adresa]])-1)</f>
        <v>Dvořákova 155</v>
      </c>
      <c r="G266" s="2" t="str">
        <f>RIGHT(Tabulka1[[#This Row],[Adresa]],LEN(Tabulka1[[#This Row],[Adresa]])-LEN(Tabulka1[[#This Row],[Ulice]])-1)</f>
        <v>Rícany u Prahy</v>
      </c>
      <c r="H266" s="2" t="str">
        <f>_xlfn.CONCAT(LOWER(Tabulka1[[#This Row],[příjmení bez mezer]]),".",LOWER(Tabulka1[[#This Row],[Jmeno bez mezer]]),"@firmaabc.cz")</f>
        <v>kocourek.libor@firmaabc.cz</v>
      </c>
      <c r="I266" s="2" t="str">
        <f>_xlfn.CONCAT(LOWER(LEFT(Tabulka1[[#This Row],[příjmení bez mezer]],3)),UPPER(RIGHT(Tabulka1[[#This Row],[Jmeno bez mezer]],2)))</f>
        <v>kocOR</v>
      </c>
      <c r="J266" s="2" t="s">
        <v>1385</v>
      </c>
      <c r="K266" s="2" t="s">
        <v>1824</v>
      </c>
      <c r="L266" s="3" t="s">
        <v>2275</v>
      </c>
    </row>
    <row r="267" spans="1:12" ht="30" x14ac:dyDescent="0.25">
      <c r="A267" s="2" t="s">
        <v>626</v>
      </c>
      <c r="B267" t="s">
        <v>24</v>
      </c>
      <c r="C267" t="s">
        <v>627</v>
      </c>
      <c r="D267" t="str">
        <f>TRIM(Tabulka1[[#This Row],[Jméno]])</f>
        <v>Jan</v>
      </c>
      <c r="E267" t="str">
        <f>TRIM(Tabulka1[[#This Row],[Příjmení]])</f>
        <v>Jurecka</v>
      </c>
      <c r="F267" s="2" t="str">
        <f>MID(Tabulka1[[#This Row],[Adresa]],1,SEARCH(",",Tabulka1[[#This Row],[Adresa]])-1)</f>
        <v>Bratří Čapků 567</v>
      </c>
      <c r="G267" s="2" t="str">
        <f>RIGHT(Tabulka1[[#This Row],[Adresa]],LEN(Tabulka1[[#This Row],[Adresa]])-LEN(Tabulka1[[#This Row],[Ulice]])-1)</f>
        <v>Náchod 1</v>
      </c>
      <c r="H267" s="2" t="str">
        <f>_xlfn.CONCAT(LOWER(Tabulka1[[#This Row],[příjmení bez mezer]]),".",LOWER(Tabulka1[[#This Row],[Jmeno bez mezer]]),"@firmaabc.cz")</f>
        <v>jurecka.jan@firmaabc.cz</v>
      </c>
      <c r="I267" s="2" t="str">
        <f>_xlfn.CONCAT(LOWER(LEFT(Tabulka1[[#This Row],[příjmení bez mezer]],3)),UPPER(RIGHT(Tabulka1[[#This Row],[Jmeno bez mezer]],2)))</f>
        <v>jurAN</v>
      </c>
      <c r="J267" s="2" t="s">
        <v>1386</v>
      </c>
      <c r="K267" s="2" t="s">
        <v>1846</v>
      </c>
      <c r="L267" s="3" t="s">
        <v>2276</v>
      </c>
    </row>
    <row r="268" spans="1:12" ht="30" x14ac:dyDescent="0.25">
      <c r="A268" s="2" t="s">
        <v>628</v>
      </c>
      <c r="B268" t="s">
        <v>33</v>
      </c>
      <c r="C268" t="s">
        <v>629</v>
      </c>
      <c r="D268" t="str">
        <f>TRIM(Tabulka1[[#This Row],[Jméno]])</f>
        <v>Karolina</v>
      </c>
      <c r="E268" t="str">
        <f>TRIM(Tabulka1[[#This Row],[Příjmení]])</f>
        <v>Horackova</v>
      </c>
      <c r="F268" s="2" t="str">
        <f>MID(Tabulka1[[#This Row],[Adresa]],1,SEARCH(",",Tabulka1[[#This Row],[Adresa]])-1)</f>
        <v>Žižkova 1319</v>
      </c>
      <c r="G268" s="2" t="str">
        <f>RIGHT(Tabulka1[[#This Row],[Adresa]],LEN(Tabulka1[[#This Row],[Adresa]])-LEN(Tabulka1[[#This Row],[Ulice]])-1)</f>
        <v>Kralice na Hané</v>
      </c>
      <c r="H268" s="2" t="str">
        <f>_xlfn.CONCAT(LOWER(Tabulka1[[#This Row],[příjmení bez mezer]]),".",LOWER(Tabulka1[[#This Row],[Jmeno bez mezer]]),"@firmaabc.cz")</f>
        <v>horackova.karolina@firmaabc.cz</v>
      </c>
      <c r="I268" s="2" t="str">
        <f>_xlfn.CONCAT(LOWER(LEFT(Tabulka1[[#This Row],[příjmení bez mezer]],3)),UPPER(RIGHT(Tabulka1[[#This Row],[Jmeno bez mezer]],2)))</f>
        <v>horNA</v>
      </c>
      <c r="J268" s="2" t="s">
        <v>1387</v>
      </c>
      <c r="K268" s="2" t="s">
        <v>1632</v>
      </c>
      <c r="L268" s="3" t="s">
        <v>2277</v>
      </c>
    </row>
    <row r="269" spans="1:12" ht="45" x14ac:dyDescent="0.25">
      <c r="A269" s="2" t="s">
        <v>630</v>
      </c>
      <c r="B269" t="s">
        <v>96</v>
      </c>
      <c r="C269" t="s">
        <v>631</v>
      </c>
      <c r="D269" t="str">
        <f>TRIM(Tabulka1[[#This Row],[Jméno]])</f>
        <v>Lukas</v>
      </c>
      <c r="E269" t="str">
        <f>TRIM(Tabulka1[[#This Row],[Příjmení]])</f>
        <v>Holusa</v>
      </c>
      <c r="F269" s="2" t="str">
        <f>MID(Tabulka1[[#This Row],[Adresa]],1,SEARCH(",",Tabulka1[[#This Row],[Adresa]])-1)</f>
        <v>V Zahradách 413</v>
      </c>
      <c r="G269" s="2" t="str">
        <f>RIGHT(Tabulka1[[#This Row],[Adresa]],LEN(Tabulka1[[#This Row],[Adresa]])-LEN(Tabulka1[[#This Row],[Ulice]])-1)</f>
        <v>Brodek u Prerova</v>
      </c>
      <c r="H269" s="2" t="str">
        <f>_xlfn.CONCAT(LOWER(Tabulka1[[#This Row],[příjmení bez mezer]]),".",LOWER(Tabulka1[[#This Row],[Jmeno bez mezer]]),"@firmaabc.cz")</f>
        <v>holusa.lukas@firmaabc.cz</v>
      </c>
      <c r="I269" s="2" t="str">
        <f>_xlfn.CONCAT(LOWER(LEFT(Tabulka1[[#This Row],[příjmení bez mezer]],3)),UPPER(RIGHT(Tabulka1[[#This Row],[Jmeno bez mezer]],2)))</f>
        <v>holAS</v>
      </c>
      <c r="J269" s="2" t="s">
        <v>1388</v>
      </c>
      <c r="K269" s="2" t="s">
        <v>1817</v>
      </c>
      <c r="L269" s="3" t="s">
        <v>2278</v>
      </c>
    </row>
    <row r="270" spans="1:12" ht="30" x14ac:dyDescent="0.25">
      <c r="A270" s="2" t="s">
        <v>632</v>
      </c>
      <c r="B270" t="s">
        <v>15</v>
      </c>
      <c r="C270" t="s">
        <v>633</v>
      </c>
      <c r="D270" t="str">
        <f>TRIM(Tabulka1[[#This Row],[Jméno]])</f>
        <v>Vladimir</v>
      </c>
      <c r="E270" t="str">
        <f>TRIM(Tabulka1[[#This Row],[Příjmení]])</f>
        <v>Krajcovic</v>
      </c>
      <c r="F270" s="2" t="str">
        <f>MID(Tabulka1[[#This Row],[Adresa]],1,SEARCH(",",Tabulka1[[#This Row],[Adresa]])-1)</f>
        <v>K Pazderně 191</v>
      </c>
      <c r="G270" s="2" t="str">
        <f>RIGHT(Tabulka1[[#This Row],[Adresa]],LEN(Tabulka1[[#This Row],[Adresa]])-LEN(Tabulka1[[#This Row],[Ulice]])-1)</f>
        <v>Smilkov</v>
      </c>
      <c r="H270" s="2" t="str">
        <f>_xlfn.CONCAT(LOWER(Tabulka1[[#This Row],[příjmení bez mezer]]),".",LOWER(Tabulka1[[#This Row],[Jmeno bez mezer]]),"@firmaabc.cz")</f>
        <v>krajcovic.vladimir@firmaabc.cz</v>
      </c>
      <c r="I270" s="2" t="str">
        <f>_xlfn.CONCAT(LOWER(LEFT(Tabulka1[[#This Row],[příjmení bez mezer]],3)),UPPER(RIGHT(Tabulka1[[#This Row],[Jmeno bez mezer]],2)))</f>
        <v>kraIR</v>
      </c>
      <c r="J270" s="2" t="s">
        <v>1389</v>
      </c>
      <c r="K270" s="2" t="s">
        <v>1847</v>
      </c>
      <c r="L270" s="3" t="s">
        <v>2279</v>
      </c>
    </row>
    <row r="271" spans="1:12" ht="30" x14ac:dyDescent="0.25">
      <c r="A271" s="2" t="s">
        <v>634</v>
      </c>
      <c r="B271" t="s">
        <v>232</v>
      </c>
      <c r="C271" t="s">
        <v>635</v>
      </c>
      <c r="D271" t="str">
        <f>TRIM(Tabulka1[[#This Row],[Jméno]])</f>
        <v>Zdenek</v>
      </c>
      <c r="E271" t="str">
        <f>TRIM(Tabulka1[[#This Row],[Příjmení]])</f>
        <v>Andrle</v>
      </c>
      <c r="F271" s="2" t="str">
        <f>MID(Tabulka1[[#This Row],[Adresa]],1,SEARCH(",",Tabulka1[[#This Row],[Adresa]])-1)</f>
        <v>Příkopy 1504</v>
      </c>
      <c r="G271" s="2" t="str">
        <f>RIGHT(Tabulka1[[#This Row],[Adresa]],LEN(Tabulka1[[#This Row],[Adresa]])-LEN(Tabulka1[[#This Row],[Ulice]])-1)</f>
        <v>Lanškroun</v>
      </c>
      <c r="H271" s="2" t="str">
        <f>_xlfn.CONCAT(LOWER(Tabulka1[[#This Row],[příjmení bez mezer]]),".",LOWER(Tabulka1[[#This Row],[Jmeno bez mezer]]),"@firmaabc.cz")</f>
        <v>andrle.zdenek@firmaabc.cz</v>
      </c>
      <c r="I271" s="2" t="str">
        <f>_xlfn.CONCAT(LOWER(LEFT(Tabulka1[[#This Row],[příjmení bez mezer]],3)),UPPER(RIGHT(Tabulka1[[#This Row],[Jmeno bez mezer]],2)))</f>
        <v>andEK</v>
      </c>
      <c r="J271" s="2" t="s">
        <v>1390</v>
      </c>
      <c r="K271" s="2" t="s">
        <v>1848</v>
      </c>
      <c r="L271" s="3" t="s">
        <v>2280</v>
      </c>
    </row>
    <row r="272" spans="1:12" ht="30" x14ac:dyDescent="0.25">
      <c r="A272" s="2" t="s">
        <v>636</v>
      </c>
      <c r="B272" t="s">
        <v>268</v>
      </c>
      <c r="C272" t="s">
        <v>59</v>
      </c>
      <c r="D272" t="str">
        <f>TRIM(Tabulka1[[#This Row],[Jméno]])</f>
        <v>Anna</v>
      </c>
      <c r="E272" t="str">
        <f>TRIM(Tabulka1[[#This Row],[Příjmení]])</f>
        <v>Fiserova</v>
      </c>
      <c r="F272" s="2" t="str">
        <f>MID(Tabulka1[[#This Row],[Adresa]],1,SEARCH(",",Tabulka1[[#This Row],[Adresa]])-1)</f>
        <v>Střední 1201</v>
      </c>
      <c r="G272" s="2" t="str">
        <f>RIGHT(Tabulka1[[#This Row],[Adresa]],LEN(Tabulka1[[#This Row],[Adresa]])-LEN(Tabulka1[[#This Row],[Ulice]])-1)</f>
        <v>Dolní Belá</v>
      </c>
      <c r="H272" s="2" t="str">
        <f>_xlfn.CONCAT(LOWER(Tabulka1[[#This Row],[příjmení bez mezer]]),".",LOWER(Tabulka1[[#This Row],[Jmeno bez mezer]]),"@firmaabc.cz")</f>
        <v>fiserova.anna@firmaabc.cz</v>
      </c>
      <c r="I272" s="2" t="str">
        <f>_xlfn.CONCAT(LOWER(LEFT(Tabulka1[[#This Row],[příjmení bez mezer]],3)),UPPER(RIGHT(Tabulka1[[#This Row],[Jmeno bez mezer]],2)))</f>
        <v>fisNA</v>
      </c>
      <c r="J272" s="2" t="s">
        <v>1391</v>
      </c>
      <c r="K272" s="2" t="s">
        <v>1849</v>
      </c>
      <c r="L272" s="3" t="s">
        <v>2281</v>
      </c>
    </row>
    <row r="273" spans="1:12" x14ac:dyDescent="0.25">
      <c r="A273" s="2" t="s">
        <v>637</v>
      </c>
      <c r="B273" t="s">
        <v>88</v>
      </c>
      <c r="C273" t="s">
        <v>638</v>
      </c>
      <c r="D273" t="str">
        <f>TRIM(Tabulka1[[#This Row],[Jméno]])</f>
        <v>Pavel</v>
      </c>
      <c r="E273" t="str">
        <f>TRIM(Tabulka1[[#This Row],[Příjmení]])</f>
        <v>Vymazal</v>
      </c>
      <c r="F273" s="2" t="str">
        <f>MID(Tabulka1[[#This Row],[Adresa]],1,SEARCH(",",Tabulka1[[#This Row],[Adresa]])-1)</f>
        <v>Jičín 709</v>
      </c>
      <c r="G273" s="2" t="str">
        <f>RIGHT(Tabulka1[[#This Row],[Adresa]],LEN(Tabulka1[[#This Row],[Adresa]])-LEN(Tabulka1[[#This Row],[Ulice]])-1)</f>
        <v>Jicín 1</v>
      </c>
      <c r="H273" s="2" t="str">
        <f>_xlfn.CONCAT(LOWER(Tabulka1[[#This Row],[příjmení bez mezer]]),".",LOWER(Tabulka1[[#This Row],[Jmeno bez mezer]]),"@firmaabc.cz")</f>
        <v>vymazal.pavel@firmaabc.cz</v>
      </c>
      <c r="I273" s="2" t="str">
        <f>_xlfn.CONCAT(LOWER(LEFT(Tabulka1[[#This Row],[příjmení bez mezer]],3)),UPPER(RIGHT(Tabulka1[[#This Row],[Jmeno bez mezer]],2)))</f>
        <v>vymEL</v>
      </c>
      <c r="J273" s="2" t="s">
        <v>1392</v>
      </c>
      <c r="K273" s="2" t="s">
        <v>1754</v>
      </c>
      <c r="L273" s="3" t="s">
        <v>2282</v>
      </c>
    </row>
    <row r="274" spans="1:12" ht="45" x14ac:dyDescent="0.25">
      <c r="A274" s="2" t="s">
        <v>639</v>
      </c>
      <c r="B274" t="s">
        <v>61</v>
      </c>
      <c r="C274" t="s">
        <v>640</v>
      </c>
      <c r="D274" t="str">
        <f>TRIM(Tabulka1[[#This Row],[Jméno]])</f>
        <v>Dagmar</v>
      </c>
      <c r="E274" t="str">
        <f>TRIM(Tabulka1[[#This Row],[Příjmení]])</f>
        <v>Souralova</v>
      </c>
      <c r="F274" s="2" t="str">
        <f>MID(Tabulka1[[#This Row],[Adresa]],1,SEARCH(",",Tabulka1[[#This Row],[Adresa]])-1)</f>
        <v>Na Loučkách 721</v>
      </c>
      <c r="G274" s="2" t="str">
        <f>RIGHT(Tabulka1[[#This Row],[Adresa]],LEN(Tabulka1[[#This Row],[Adresa]])-LEN(Tabulka1[[#This Row],[Ulice]])-1)</f>
        <v>Jedovnice</v>
      </c>
      <c r="H274" s="2" t="str">
        <f>_xlfn.CONCAT(LOWER(Tabulka1[[#This Row],[příjmení bez mezer]]),".",LOWER(Tabulka1[[#This Row],[Jmeno bez mezer]]),"@firmaabc.cz")</f>
        <v>souralova.dagmar@firmaabc.cz</v>
      </c>
      <c r="I274" s="2" t="str">
        <f>_xlfn.CONCAT(LOWER(LEFT(Tabulka1[[#This Row],[příjmení bez mezer]],3)),UPPER(RIGHT(Tabulka1[[#This Row],[Jmeno bez mezer]],2)))</f>
        <v>souAR</v>
      </c>
      <c r="J274" s="2" t="s">
        <v>1393</v>
      </c>
      <c r="K274" s="2" t="s">
        <v>1850</v>
      </c>
      <c r="L274" s="3" t="s">
        <v>2283</v>
      </c>
    </row>
    <row r="275" spans="1:12" ht="30" x14ac:dyDescent="0.25">
      <c r="A275" s="2" t="s">
        <v>641</v>
      </c>
      <c r="B275" t="s">
        <v>178</v>
      </c>
      <c r="C275" t="s">
        <v>642</v>
      </c>
      <c r="D275" t="str">
        <f>TRIM(Tabulka1[[#This Row],[Jméno]])</f>
        <v>Jaroslav</v>
      </c>
      <c r="E275" t="str">
        <f>TRIM(Tabulka1[[#This Row],[Příjmení]])</f>
        <v>Skoda</v>
      </c>
      <c r="F275" s="2" t="str">
        <f>MID(Tabulka1[[#This Row],[Adresa]],1,SEARCH(",",Tabulka1[[#This Row],[Adresa]])-1)</f>
        <v>Dobrovského 1207</v>
      </c>
      <c r="G275" s="2" t="str">
        <f>RIGHT(Tabulka1[[#This Row],[Adresa]],LEN(Tabulka1[[#This Row],[Adresa]])-LEN(Tabulka1[[#This Row],[Ulice]])-1)</f>
        <v>Trebíc 1</v>
      </c>
      <c r="H275" s="2" t="str">
        <f>_xlfn.CONCAT(LOWER(Tabulka1[[#This Row],[příjmení bez mezer]]),".",LOWER(Tabulka1[[#This Row],[Jmeno bez mezer]]),"@firmaabc.cz")</f>
        <v>skoda.jaroslav@firmaabc.cz</v>
      </c>
      <c r="I275" s="2" t="str">
        <f>_xlfn.CONCAT(LOWER(LEFT(Tabulka1[[#This Row],[příjmení bez mezer]],3)),UPPER(RIGHT(Tabulka1[[#This Row],[Jmeno bez mezer]],2)))</f>
        <v>skoAV</v>
      </c>
      <c r="J275" s="2" t="s">
        <v>1394</v>
      </c>
      <c r="K275" s="2" t="s">
        <v>1851</v>
      </c>
      <c r="L275" s="3" t="s">
        <v>2284</v>
      </c>
    </row>
    <row r="276" spans="1:12" ht="45" x14ac:dyDescent="0.25">
      <c r="A276" s="2" t="s">
        <v>643</v>
      </c>
      <c r="B276" t="s">
        <v>590</v>
      </c>
      <c r="C276" t="s">
        <v>363</v>
      </c>
      <c r="D276" t="str">
        <f>TRIM(Tabulka1[[#This Row],[Jméno]])</f>
        <v>Kristyna</v>
      </c>
      <c r="E276" t="str">
        <f>TRIM(Tabulka1[[#This Row],[Příjmení]])</f>
        <v>Hajkova</v>
      </c>
      <c r="F276" s="2" t="str">
        <f>MID(Tabulka1[[#This Row],[Adresa]],1,SEARCH(",",Tabulka1[[#This Row],[Adresa]])-1)</f>
        <v>Jana Šťastného 43</v>
      </c>
      <c r="G276" s="2" t="str">
        <f>RIGHT(Tabulka1[[#This Row],[Adresa]],LEN(Tabulka1[[#This Row],[Adresa]])-LEN(Tabulka1[[#This Row],[Ulice]])-1)</f>
        <v>Kamenice</v>
      </c>
      <c r="H276" s="2" t="str">
        <f>_xlfn.CONCAT(LOWER(Tabulka1[[#This Row],[příjmení bez mezer]]),".",LOWER(Tabulka1[[#This Row],[Jmeno bez mezer]]),"@firmaabc.cz")</f>
        <v>hajkova.kristyna@firmaabc.cz</v>
      </c>
      <c r="I276" s="2" t="str">
        <f>_xlfn.CONCAT(LOWER(LEFT(Tabulka1[[#This Row],[příjmení bez mezer]],3)),UPPER(RIGHT(Tabulka1[[#This Row],[Jmeno bez mezer]],2)))</f>
        <v>hajNA</v>
      </c>
      <c r="J276" s="2" t="s">
        <v>1395</v>
      </c>
      <c r="K276" s="2" t="s">
        <v>1674</v>
      </c>
      <c r="L276" s="3" t="s">
        <v>2285</v>
      </c>
    </row>
    <row r="277" spans="1:12" ht="30" x14ac:dyDescent="0.25">
      <c r="A277" s="2" t="s">
        <v>644</v>
      </c>
      <c r="B277" t="s">
        <v>253</v>
      </c>
      <c r="C277" t="s">
        <v>645</v>
      </c>
      <c r="D277" t="str">
        <f>TRIM(Tabulka1[[#This Row],[Jméno]])</f>
        <v>Eva</v>
      </c>
      <c r="E277" t="str">
        <f>TRIM(Tabulka1[[#This Row],[Příjmení]])</f>
        <v>Doubravova</v>
      </c>
      <c r="F277" s="2" t="str">
        <f>MID(Tabulka1[[#This Row],[Adresa]],1,SEARCH(",",Tabulka1[[#This Row],[Adresa]])-1)</f>
        <v>Kovářská 1954</v>
      </c>
      <c r="G277" s="2" t="str">
        <f>RIGHT(Tabulka1[[#This Row],[Adresa]],LEN(Tabulka1[[#This Row],[Adresa]])-LEN(Tabulka1[[#This Row],[Ulice]])-1)</f>
        <v>Ústí nad Labem 2</v>
      </c>
      <c r="H277" s="2" t="str">
        <f>_xlfn.CONCAT(LOWER(Tabulka1[[#This Row],[příjmení bez mezer]]),".",LOWER(Tabulka1[[#This Row],[Jmeno bez mezer]]),"@firmaabc.cz")</f>
        <v>doubravova.eva@firmaabc.cz</v>
      </c>
      <c r="I277" s="2" t="str">
        <f>_xlfn.CONCAT(LOWER(LEFT(Tabulka1[[#This Row],[příjmení bez mezer]],3)),UPPER(RIGHT(Tabulka1[[#This Row],[Jmeno bez mezer]],2)))</f>
        <v>douVA</v>
      </c>
      <c r="J277" s="2" t="s">
        <v>1396</v>
      </c>
      <c r="K277" s="2" t="s">
        <v>1816</v>
      </c>
      <c r="L277" s="3" t="s">
        <v>2286</v>
      </c>
    </row>
    <row r="278" spans="1:12" ht="30" x14ac:dyDescent="0.25">
      <c r="A278" s="2" t="s">
        <v>646</v>
      </c>
      <c r="B278" t="s">
        <v>647</v>
      </c>
      <c r="C278" t="s">
        <v>332</v>
      </c>
      <c r="D278" t="str">
        <f>TRIM(Tabulka1[[#This Row],[Jméno]])</f>
        <v>Marcel</v>
      </c>
      <c r="E278" t="str">
        <f>TRIM(Tabulka1[[#This Row],[Příjmení]])</f>
        <v>?Prochazka</v>
      </c>
      <c r="F278" s="2" t="str">
        <f>MID(Tabulka1[[#This Row],[Adresa]],1,SEARCH(",",Tabulka1[[#This Row],[Adresa]])-1)</f>
        <v>Jana Nerudy 765</v>
      </c>
      <c r="G278" s="2" t="str">
        <f>RIGHT(Tabulka1[[#This Row],[Adresa]],LEN(Tabulka1[[#This Row],[Adresa]])-LEN(Tabulka1[[#This Row],[Ulice]])-1)</f>
        <v>Nová Paka</v>
      </c>
      <c r="H278" s="2" t="str">
        <f>_xlfn.CONCAT(LOWER(Tabulka1[[#This Row],[příjmení bez mezer]]),".",LOWER(Tabulka1[[#This Row],[Jmeno bez mezer]]),"@firmaabc.cz")</f>
        <v>?prochazka.marcel@firmaabc.cz</v>
      </c>
      <c r="I278" s="2" t="str">
        <f>_xlfn.CONCAT(LOWER(LEFT(Tabulka1[[#This Row],[příjmení bez mezer]],3)),UPPER(RIGHT(Tabulka1[[#This Row],[Jmeno bez mezer]],2)))</f>
        <v>?prEL</v>
      </c>
      <c r="J278" s="2" t="s">
        <v>1397</v>
      </c>
      <c r="K278" s="2" t="s">
        <v>1852</v>
      </c>
      <c r="L278" s="3" t="s">
        <v>2287</v>
      </c>
    </row>
    <row r="279" spans="1:12" ht="30" x14ac:dyDescent="0.25">
      <c r="A279" s="2" t="s">
        <v>648</v>
      </c>
      <c r="B279" t="s">
        <v>96</v>
      </c>
      <c r="C279" t="s">
        <v>649</v>
      </c>
      <c r="D279" t="str">
        <f>TRIM(Tabulka1[[#This Row],[Jméno]])</f>
        <v>Lukas</v>
      </c>
      <c r="E279" t="str">
        <f>TRIM(Tabulka1[[#This Row],[Příjmení]])</f>
        <v>Rysavy</v>
      </c>
      <c r="F279" s="2" t="str">
        <f>MID(Tabulka1[[#This Row],[Adresa]],1,SEARCH(",",Tabulka1[[#This Row],[Adresa]])-1)</f>
        <v>U divadla 867</v>
      </c>
      <c r="G279" s="2" t="str">
        <f>RIGHT(Tabulka1[[#This Row],[Adresa]],LEN(Tabulka1[[#This Row],[Adresa]])-LEN(Tabulka1[[#This Row],[Ulice]])-1)</f>
        <v>Teplice 1</v>
      </c>
      <c r="H279" s="2" t="str">
        <f>_xlfn.CONCAT(LOWER(Tabulka1[[#This Row],[příjmení bez mezer]]),".",LOWER(Tabulka1[[#This Row],[Jmeno bez mezer]]),"@firmaabc.cz")</f>
        <v>rysavy.lukas@firmaabc.cz</v>
      </c>
      <c r="I279" s="2" t="str">
        <f>_xlfn.CONCAT(LOWER(LEFT(Tabulka1[[#This Row],[příjmení bez mezer]],3)),UPPER(RIGHT(Tabulka1[[#This Row],[Jmeno bez mezer]],2)))</f>
        <v>rysAS</v>
      </c>
      <c r="J279" s="2" t="s">
        <v>1398</v>
      </c>
      <c r="K279" s="2" t="s">
        <v>1838</v>
      </c>
      <c r="L279" s="3" t="s">
        <v>2288</v>
      </c>
    </row>
    <row r="280" spans="1:12" ht="45" x14ac:dyDescent="0.25">
      <c r="A280" s="2" t="s">
        <v>650</v>
      </c>
      <c r="B280" t="s">
        <v>113</v>
      </c>
      <c r="C280" t="s">
        <v>651</v>
      </c>
      <c r="D280" t="str">
        <f>TRIM(Tabulka1[[#This Row],[Jméno]])</f>
        <v>Jiri</v>
      </c>
      <c r="E280" t="str">
        <f>TRIM(Tabulka1[[#This Row],[Příjmení]])</f>
        <v>Dedic</v>
      </c>
      <c r="F280" s="2" t="str">
        <f>MID(Tabulka1[[#This Row],[Adresa]],1,SEARCH(",",Tabulka1[[#This Row],[Adresa]])-1)</f>
        <v>Ke hřišti 581</v>
      </c>
      <c r="G280" s="2" t="str">
        <f>RIGHT(Tabulka1[[#This Row],[Adresa]],LEN(Tabulka1[[#This Row],[Adresa]])-LEN(Tabulka1[[#This Row],[Ulice]])-1)</f>
        <v>Týnec nad Labem</v>
      </c>
      <c r="H280" s="2" t="str">
        <f>_xlfn.CONCAT(LOWER(Tabulka1[[#This Row],[příjmení bez mezer]]),".",LOWER(Tabulka1[[#This Row],[Jmeno bez mezer]]),"@firmaabc.cz")</f>
        <v>dedic.jiri@firmaabc.cz</v>
      </c>
      <c r="I280" s="2" t="str">
        <f>_xlfn.CONCAT(LOWER(LEFT(Tabulka1[[#This Row],[příjmení bez mezer]],3)),UPPER(RIGHT(Tabulka1[[#This Row],[Jmeno bez mezer]],2)))</f>
        <v>dedRI</v>
      </c>
      <c r="J280" s="2" t="s">
        <v>1399</v>
      </c>
      <c r="K280" s="2" t="s">
        <v>1853</v>
      </c>
      <c r="L280" s="3" t="s">
        <v>2289</v>
      </c>
    </row>
    <row r="281" spans="1:12" ht="30" x14ac:dyDescent="0.25">
      <c r="A281" s="2" t="s">
        <v>652</v>
      </c>
      <c r="B281" t="s">
        <v>96</v>
      </c>
      <c r="C281" t="s">
        <v>351</v>
      </c>
      <c r="D281" t="str">
        <f>TRIM(Tabulka1[[#This Row],[Jméno]])</f>
        <v>Lukas</v>
      </c>
      <c r="E281" t="str">
        <f>TRIM(Tabulka1[[#This Row],[Příjmení]])</f>
        <v>?Cerny</v>
      </c>
      <c r="F281" s="2" t="str">
        <f>MID(Tabulka1[[#This Row],[Adresa]],1,SEARCH(",",Tabulka1[[#This Row],[Adresa]])-1)</f>
        <v>Nové Město 735</v>
      </c>
      <c r="G281" s="2" t="str">
        <f>RIGHT(Tabulka1[[#This Row],[Adresa]],LEN(Tabulka1[[#This Row],[Adresa]])-LEN(Tabulka1[[#This Row],[Ulice]])-1)</f>
        <v>Dušejov</v>
      </c>
      <c r="H281" s="2" t="str">
        <f>_xlfn.CONCAT(LOWER(Tabulka1[[#This Row],[příjmení bez mezer]]),".",LOWER(Tabulka1[[#This Row],[Jmeno bez mezer]]),"@firmaabc.cz")</f>
        <v>?cerny.lukas@firmaabc.cz</v>
      </c>
      <c r="I281" s="2" t="str">
        <f>_xlfn.CONCAT(LOWER(LEFT(Tabulka1[[#This Row],[příjmení bez mezer]],3)),UPPER(RIGHT(Tabulka1[[#This Row],[Jmeno bez mezer]],2)))</f>
        <v>?ceAS</v>
      </c>
      <c r="J281" s="2" t="s">
        <v>1400</v>
      </c>
      <c r="K281" s="2" t="s">
        <v>1659</v>
      </c>
      <c r="L281" s="3" t="s">
        <v>2290</v>
      </c>
    </row>
    <row r="282" spans="1:12" ht="45" x14ac:dyDescent="0.25">
      <c r="A282" s="2" t="s">
        <v>653</v>
      </c>
      <c r="B282" t="s">
        <v>96</v>
      </c>
      <c r="C282" t="s">
        <v>654</v>
      </c>
      <c r="D282" t="str">
        <f>TRIM(Tabulka1[[#This Row],[Jméno]])</f>
        <v>Lukas</v>
      </c>
      <c r="E282" t="str">
        <f>TRIM(Tabulka1[[#This Row],[Příjmení]])</f>
        <v>?Horak</v>
      </c>
      <c r="F282" s="2" t="str">
        <f>MID(Tabulka1[[#This Row],[Adresa]],1,SEARCH(",",Tabulka1[[#This Row],[Adresa]])-1)</f>
        <v>Na Průhonu 769</v>
      </c>
      <c r="G282" s="2" t="str">
        <f>RIGHT(Tabulka1[[#This Row],[Adresa]],LEN(Tabulka1[[#This Row],[Adresa]])-LEN(Tabulka1[[#This Row],[Ulice]])-1)</f>
        <v>Mnichovo Hradište</v>
      </c>
      <c r="H282" s="2" t="str">
        <f>_xlfn.CONCAT(LOWER(Tabulka1[[#This Row],[příjmení bez mezer]]),".",LOWER(Tabulka1[[#This Row],[Jmeno bez mezer]]),"@firmaabc.cz")</f>
        <v>?horak.lukas@firmaabc.cz</v>
      </c>
      <c r="I282" s="2" t="str">
        <f>_xlfn.CONCAT(LOWER(LEFT(Tabulka1[[#This Row],[příjmení bez mezer]],3)),UPPER(RIGHT(Tabulka1[[#This Row],[Jmeno bez mezer]],2)))</f>
        <v>?hoAS</v>
      </c>
      <c r="J282" s="2" t="s">
        <v>1401</v>
      </c>
      <c r="K282" s="2" t="s">
        <v>1796</v>
      </c>
      <c r="L282" s="3" t="s">
        <v>2291</v>
      </c>
    </row>
    <row r="283" spans="1:12" ht="30" x14ac:dyDescent="0.25">
      <c r="A283" s="2" t="s">
        <v>655</v>
      </c>
      <c r="B283" t="s">
        <v>30</v>
      </c>
      <c r="C283" t="s">
        <v>288</v>
      </c>
      <c r="D283" t="str">
        <f>TRIM(Tabulka1[[#This Row],[Jméno]])</f>
        <v>Michal</v>
      </c>
      <c r="E283" t="str">
        <f>TRIM(Tabulka1[[#This Row],[Příjmení]])</f>
        <v>Konecny</v>
      </c>
      <c r="F283" s="2" t="str">
        <f>MID(Tabulka1[[#This Row],[Adresa]],1,SEARCH(",",Tabulka1[[#This Row],[Adresa]])-1)</f>
        <v>Družstevní 317</v>
      </c>
      <c r="G283" s="2" t="str">
        <f>RIGHT(Tabulka1[[#This Row],[Adresa]],LEN(Tabulka1[[#This Row],[Adresa]])-LEN(Tabulka1[[#This Row],[Ulice]])-1)</f>
        <v>Holoubkov</v>
      </c>
      <c r="H283" s="2" t="str">
        <f>_xlfn.CONCAT(LOWER(Tabulka1[[#This Row],[příjmení bez mezer]]),".",LOWER(Tabulka1[[#This Row],[Jmeno bez mezer]]),"@firmaabc.cz")</f>
        <v>konecny.michal@firmaabc.cz</v>
      </c>
      <c r="I283" s="2" t="str">
        <f>_xlfn.CONCAT(LOWER(LEFT(Tabulka1[[#This Row],[příjmení bez mezer]],3)),UPPER(RIGHT(Tabulka1[[#This Row],[Jmeno bez mezer]],2)))</f>
        <v>konAL</v>
      </c>
      <c r="J283" s="2" t="s">
        <v>1402</v>
      </c>
      <c r="K283" s="2" t="s">
        <v>1854</v>
      </c>
      <c r="L283" s="3" t="s">
        <v>2292</v>
      </c>
    </row>
    <row r="284" spans="1:12" ht="30" x14ac:dyDescent="0.25">
      <c r="A284" s="2" t="s">
        <v>656</v>
      </c>
      <c r="B284" t="s">
        <v>253</v>
      </c>
      <c r="C284" t="s">
        <v>657</v>
      </c>
      <c r="D284" t="str">
        <f>TRIM(Tabulka1[[#This Row],[Jméno]])</f>
        <v>Eva</v>
      </c>
      <c r="E284" t="str">
        <f>TRIM(Tabulka1[[#This Row],[Příjmení]])</f>
        <v>Halfarova</v>
      </c>
      <c r="F284" s="2" t="str">
        <f>MID(Tabulka1[[#This Row],[Adresa]],1,SEARCH(",",Tabulka1[[#This Row],[Adresa]])-1)</f>
        <v>Havlíčkova 1722</v>
      </c>
      <c r="G284" s="2" t="str">
        <f>RIGHT(Tabulka1[[#This Row],[Adresa]],LEN(Tabulka1[[#This Row],[Adresa]])-LEN(Tabulka1[[#This Row],[Ulice]])-1)</f>
        <v>Dobríš</v>
      </c>
      <c r="H284" s="2" t="str">
        <f>_xlfn.CONCAT(LOWER(Tabulka1[[#This Row],[příjmení bez mezer]]),".",LOWER(Tabulka1[[#This Row],[Jmeno bez mezer]]),"@firmaabc.cz")</f>
        <v>halfarova.eva@firmaabc.cz</v>
      </c>
      <c r="I284" s="2" t="str">
        <f>_xlfn.CONCAT(LOWER(LEFT(Tabulka1[[#This Row],[příjmení bez mezer]],3)),UPPER(RIGHT(Tabulka1[[#This Row],[Jmeno bez mezer]],2)))</f>
        <v>halVA</v>
      </c>
      <c r="J284" s="2" t="s">
        <v>1403</v>
      </c>
      <c r="K284" s="2" t="s">
        <v>1855</v>
      </c>
      <c r="L284" s="3" t="s">
        <v>2293</v>
      </c>
    </row>
    <row r="285" spans="1:12" ht="30" x14ac:dyDescent="0.25">
      <c r="A285" s="2" t="s">
        <v>658</v>
      </c>
      <c r="B285" t="s">
        <v>423</v>
      </c>
      <c r="C285" t="s">
        <v>659</v>
      </c>
      <c r="D285" t="str">
        <f>TRIM(Tabulka1[[#This Row],[Jméno]])</f>
        <v>Ruzena</v>
      </c>
      <c r="E285" t="str">
        <f>TRIM(Tabulka1[[#This Row],[Příjmení]])</f>
        <v>Gorolova</v>
      </c>
      <c r="F285" s="2" t="str">
        <f>MID(Tabulka1[[#This Row],[Adresa]],1,SEARCH(",",Tabulka1[[#This Row],[Adresa]])-1)</f>
        <v>U Parku 1519</v>
      </c>
      <c r="G285" s="2" t="str">
        <f>RIGHT(Tabulka1[[#This Row],[Adresa]],LEN(Tabulka1[[#This Row],[Adresa]])-LEN(Tabulka1[[#This Row],[Ulice]])-1)</f>
        <v>Borek</v>
      </c>
      <c r="H285" s="2" t="str">
        <f>_xlfn.CONCAT(LOWER(Tabulka1[[#This Row],[příjmení bez mezer]]),".",LOWER(Tabulka1[[#This Row],[Jmeno bez mezer]]),"@firmaabc.cz")</f>
        <v>gorolova.ruzena@firmaabc.cz</v>
      </c>
      <c r="I285" s="2" t="str">
        <f>_xlfn.CONCAT(LOWER(LEFT(Tabulka1[[#This Row],[příjmení bez mezer]],3)),UPPER(RIGHT(Tabulka1[[#This Row],[Jmeno bez mezer]],2)))</f>
        <v>gorNA</v>
      </c>
      <c r="J285" s="2" t="s">
        <v>1404</v>
      </c>
      <c r="K285" s="2" t="s">
        <v>1825</v>
      </c>
      <c r="L285" s="3" t="s">
        <v>2294</v>
      </c>
    </row>
    <row r="286" spans="1:12" x14ac:dyDescent="0.25">
      <c r="A286" s="2" t="s">
        <v>660</v>
      </c>
      <c r="B286" t="s">
        <v>170</v>
      </c>
      <c r="C286" t="s">
        <v>661</v>
      </c>
      <c r="D286" t="str">
        <f>TRIM(Tabulka1[[#This Row],[Jméno]])</f>
        <v>David</v>
      </c>
      <c r="E286" t="str">
        <f>TRIM(Tabulka1[[#This Row],[Příjmení]])</f>
        <v>Petras</v>
      </c>
      <c r="F286" s="2" t="str">
        <f>MID(Tabulka1[[#This Row],[Adresa]],1,SEARCH(",",Tabulka1[[#This Row],[Adresa]])-1)</f>
        <v>Střední 883</v>
      </c>
      <c r="G286" s="2" t="str">
        <f>RIGHT(Tabulka1[[#This Row],[Adresa]],LEN(Tabulka1[[#This Row],[Adresa]])-LEN(Tabulka1[[#This Row],[Ulice]])-1)</f>
        <v>Stod</v>
      </c>
      <c r="H286" s="2" t="str">
        <f>_xlfn.CONCAT(LOWER(Tabulka1[[#This Row],[příjmení bez mezer]]),".",LOWER(Tabulka1[[#This Row],[Jmeno bez mezer]]),"@firmaabc.cz")</f>
        <v>petras.david@firmaabc.cz</v>
      </c>
      <c r="I286" s="2" t="str">
        <f>_xlfn.CONCAT(LOWER(LEFT(Tabulka1[[#This Row],[příjmení bez mezer]],3)),UPPER(RIGHT(Tabulka1[[#This Row],[Jmeno bez mezer]],2)))</f>
        <v>petID</v>
      </c>
      <c r="J286" s="2" t="s">
        <v>1405</v>
      </c>
      <c r="K286" s="2" t="s">
        <v>1856</v>
      </c>
      <c r="L286" s="3" t="s">
        <v>2295</v>
      </c>
    </row>
    <row r="287" spans="1:12" ht="30" x14ac:dyDescent="0.25">
      <c r="A287" s="2" t="s">
        <v>662</v>
      </c>
      <c r="B287" t="s">
        <v>311</v>
      </c>
      <c r="C287" t="s">
        <v>663</v>
      </c>
      <c r="D287" t="str">
        <f>TRIM(Tabulka1[[#This Row],[Jméno]])</f>
        <v>Lucie</v>
      </c>
      <c r="E287" t="str">
        <f>TRIM(Tabulka1[[#This Row],[Příjmení]])</f>
        <v>Chytilova</v>
      </c>
      <c r="F287" s="2" t="str">
        <f>MID(Tabulka1[[#This Row],[Adresa]],1,SEARCH(",",Tabulka1[[#This Row],[Adresa]])-1)</f>
        <v>Dobrovského 1582</v>
      </c>
      <c r="G287" s="2" t="str">
        <f>RIGHT(Tabulka1[[#This Row],[Adresa]],LEN(Tabulka1[[#This Row],[Adresa]])-LEN(Tabulka1[[#This Row],[Ulice]])-1)</f>
        <v>Trebíc 1</v>
      </c>
      <c r="H287" s="2" t="str">
        <f>_xlfn.CONCAT(LOWER(Tabulka1[[#This Row],[příjmení bez mezer]]),".",LOWER(Tabulka1[[#This Row],[Jmeno bez mezer]]),"@firmaabc.cz")</f>
        <v>chytilova.lucie@firmaabc.cz</v>
      </c>
      <c r="I287" s="2" t="str">
        <f>_xlfn.CONCAT(LOWER(LEFT(Tabulka1[[#This Row],[příjmení bez mezer]],3)),UPPER(RIGHT(Tabulka1[[#This Row],[Jmeno bez mezer]],2)))</f>
        <v>chyIE</v>
      </c>
      <c r="J287" s="2" t="s">
        <v>1406</v>
      </c>
      <c r="K287" s="2" t="s">
        <v>1851</v>
      </c>
      <c r="L287" s="3" t="s">
        <v>2296</v>
      </c>
    </row>
    <row r="288" spans="1:12" ht="60" x14ac:dyDescent="0.25">
      <c r="A288" s="2" t="s">
        <v>664</v>
      </c>
      <c r="B288" t="s">
        <v>582</v>
      </c>
      <c r="C288" t="s">
        <v>665</v>
      </c>
      <c r="D288" t="str">
        <f>TRIM(Tabulka1[[#This Row],[Jméno]])</f>
        <v>Boleslav</v>
      </c>
      <c r="E288" t="str">
        <f>TRIM(Tabulka1[[#This Row],[Příjmení]])</f>
        <v>Poul</v>
      </c>
      <c r="F288" s="2" t="str">
        <f>MID(Tabulka1[[#This Row],[Adresa]],1,SEARCH(",",Tabulka1[[#This Row],[Adresa]])-1)</f>
        <v>Bratří Čapků 32</v>
      </c>
      <c r="G288" s="2" t="str">
        <f>RIGHT(Tabulka1[[#This Row],[Adresa]],LEN(Tabulka1[[#This Row],[Adresa]])-LEN(Tabulka1[[#This Row],[Ulice]])-1)</f>
        <v>Nové Mesto nad Metují 1</v>
      </c>
      <c r="H288" s="2" t="str">
        <f>_xlfn.CONCAT(LOWER(Tabulka1[[#This Row],[příjmení bez mezer]]),".",LOWER(Tabulka1[[#This Row],[Jmeno bez mezer]]),"@firmaabc.cz")</f>
        <v>poul.boleslav@firmaabc.cz</v>
      </c>
      <c r="I288" s="2" t="str">
        <f>_xlfn.CONCAT(LOWER(LEFT(Tabulka1[[#This Row],[příjmení bez mezer]],3)),UPPER(RIGHT(Tabulka1[[#This Row],[Jmeno bez mezer]],2)))</f>
        <v>pouAV</v>
      </c>
      <c r="J288" s="2" t="s">
        <v>1407</v>
      </c>
      <c r="K288" s="2" t="s">
        <v>1857</v>
      </c>
      <c r="L288" s="3" t="s">
        <v>2297</v>
      </c>
    </row>
    <row r="289" spans="1:12" ht="30" x14ac:dyDescent="0.25">
      <c r="A289" s="2" t="s">
        <v>666</v>
      </c>
      <c r="B289" t="s">
        <v>440</v>
      </c>
      <c r="C289" t="s">
        <v>667</v>
      </c>
      <c r="D289" t="str">
        <f>TRIM(Tabulka1[[#This Row],[Jméno]])</f>
        <v>Ludek</v>
      </c>
      <c r="E289" t="str">
        <f>TRIM(Tabulka1[[#This Row],[Příjmení]])</f>
        <v>Liska</v>
      </c>
      <c r="F289" s="2" t="str">
        <f>MID(Tabulka1[[#This Row],[Adresa]],1,SEARCH(",",Tabulka1[[#This Row],[Adresa]])-1)</f>
        <v>Na Kopci 497</v>
      </c>
      <c r="G289" s="2" t="str">
        <f>RIGHT(Tabulka1[[#This Row],[Adresa]],LEN(Tabulka1[[#This Row],[Adresa]])-LEN(Tabulka1[[#This Row],[Ulice]])-1)</f>
        <v>Sezemice</v>
      </c>
      <c r="H289" s="2" t="str">
        <f>_xlfn.CONCAT(LOWER(Tabulka1[[#This Row],[příjmení bez mezer]]),".",LOWER(Tabulka1[[#This Row],[Jmeno bez mezer]]),"@firmaabc.cz")</f>
        <v>liska.ludek@firmaabc.cz</v>
      </c>
      <c r="I289" s="2" t="str">
        <f>_xlfn.CONCAT(LOWER(LEFT(Tabulka1[[#This Row],[příjmení bez mezer]],3)),UPPER(RIGHT(Tabulka1[[#This Row],[Jmeno bez mezer]],2)))</f>
        <v>lisEK</v>
      </c>
      <c r="J289" s="2" t="s">
        <v>1408</v>
      </c>
      <c r="K289" s="2" t="s">
        <v>1858</v>
      </c>
      <c r="L289" s="3" t="s">
        <v>2298</v>
      </c>
    </row>
    <row r="290" spans="1:12" ht="45" x14ac:dyDescent="0.25">
      <c r="A290" s="2" t="s">
        <v>668</v>
      </c>
      <c r="B290" t="s">
        <v>253</v>
      </c>
      <c r="C290" t="s">
        <v>669</v>
      </c>
      <c r="D290" t="str">
        <f>TRIM(Tabulka1[[#This Row],[Jméno]])</f>
        <v>Eva</v>
      </c>
      <c r="E290" t="str">
        <f>TRIM(Tabulka1[[#This Row],[Příjmení]])</f>
        <v>Luksova</v>
      </c>
      <c r="F290" s="2" t="str">
        <f>MID(Tabulka1[[#This Row],[Adresa]],1,SEARCH(",",Tabulka1[[#This Row],[Adresa]])-1)</f>
        <v>Jiřího z Poděbrad 413</v>
      </c>
      <c r="G290" s="2" t="str">
        <f>RIGHT(Tabulka1[[#This Row],[Adresa]],LEN(Tabulka1[[#This Row],[Adresa]])-LEN(Tabulka1[[#This Row],[Ulice]])-1)</f>
        <v>Vernerice</v>
      </c>
      <c r="H290" s="2" t="str">
        <f>_xlfn.CONCAT(LOWER(Tabulka1[[#This Row],[příjmení bez mezer]]),".",LOWER(Tabulka1[[#This Row],[Jmeno bez mezer]]),"@firmaabc.cz")</f>
        <v>luksova.eva@firmaabc.cz</v>
      </c>
      <c r="I290" s="2" t="str">
        <f>_xlfn.CONCAT(LOWER(LEFT(Tabulka1[[#This Row],[příjmení bez mezer]],3)),UPPER(RIGHT(Tabulka1[[#This Row],[Jmeno bez mezer]],2)))</f>
        <v>lukVA</v>
      </c>
      <c r="J290" s="2" t="s">
        <v>1409</v>
      </c>
      <c r="K290" s="2" t="s">
        <v>1859</v>
      </c>
      <c r="L290" s="3" t="s">
        <v>2299</v>
      </c>
    </row>
    <row r="291" spans="1:12" ht="30" x14ac:dyDescent="0.25">
      <c r="A291" s="2" t="s">
        <v>670</v>
      </c>
      <c r="B291" t="s">
        <v>110</v>
      </c>
      <c r="C291" t="s">
        <v>671</v>
      </c>
      <c r="D291" t="str">
        <f>TRIM(Tabulka1[[#This Row],[Jméno]])</f>
        <v>Oldrich</v>
      </c>
      <c r="E291" t="str">
        <f>TRIM(Tabulka1[[#This Row],[Příjmení]])</f>
        <v>Rak</v>
      </c>
      <c r="F291" s="2" t="str">
        <f>MID(Tabulka1[[#This Row],[Adresa]],1,SEARCH(",",Tabulka1[[#This Row],[Adresa]])-1)</f>
        <v>Havlíčkova 624</v>
      </c>
      <c r="G291" s="2" t="str">
        <f>RIGHT(Tabulka1[[#This Row],[Adresa]],LEN(Tabulka1[[#This Row],[Adresa]])-LEN(Tabulka1[[#This Row],[Ulice]])-1)</f>
        <v>Výsluní</v>
      </c>
      <c r="H291" s="2" t="str">
        <f>_xlfn.CONCAT(LOWER(Tabulka1[[#This Row],[příjmení bez mezer]]),".",LOWER(Tabulka1[[#This Row],[Jmeno bez mezer]]),"@firmaabc.cz")</f>
        <v>rak.oldrich@firmaabc.cz</v>
      </c>
      <c r="I291" s="2" t="str">
        <f>_xlfn.CONCAT(LOWER(LEFT(Tabulka1[[#This Row],[příjmení bez mezer]],3)),UPPER(RIGHT(Tabulka1[[#This Row],[Jmeno bez mezer]],2)))</f>
        <v>rakCH</v>
      </c>
      <c r="J291" s="2" t="s">
        <v>1410</v>
      </c>
      <c r="K291" s="2" t="s">
        <v>1860</v>
      </c>
      <c r="L291" s="3" t="s">
        <v>2300</v>
      </c>
    </row>
    <row r="292" spans="1:12" ht="30" x14ac:dyDescent="0.25">
      <c r="A292" s="2" t="s">
        <v>672</v>
      </c>
      <c r="B292" t="s">
        <v>189</v>
      </c>
      <c r="C292" t="s">
        <v>673</v>
      </c>
      <c r="D292" t="str">
        <f>TRIM(Tabulka1[[#This Row],[Jméno]])</f>
        <v>Jana</v>
      </c>
      <c r="E292" t="str">
        <f>TRIM(Tabulka1[[#This Row],[Příjmení]])</f>
        <v>Benesova</v>
      </c>
      <c r="F292" s="2" t="str">
        <f>MID(Tabulka1[[#This Row],[Adresa]],1,SEARCH(",",Tabulka1[[#This Row],[Adresa]])-1)</f>
        <v>Příkopy 400</v>
      </c>
      <c r="G292" s="2" t="str">
        <f>RIGHT(Tabulka1[[#This Row],[Adresa]],LEN(Tabulka1[[#This Row],[Adresa]])-LEN(Tabulka1[[#This Row],[Ulice]])-1)</f>
        <v>Ústí nad Orlicí 1</v>
      </c>
      <c r="H292" s="2" t="str">
        <f>_xlfn.CONCAT(LOWER(Tabulka1[[#This Row],[příjmení bez mezer]]),".",LOWER(Tabulka1[[#This Row],[Jmeno bez mezer]]),"@firmaabc.cz")</f>
        <v>benesova.jana@firmaabc.cz</v>
      </c>
      <c r="I292" s="2" t="str">
        <f>_xlfn.CONCAT(LOWER(LEFT(Tabulka1[[#This Row],[příjmení bez mezer]],3)),UPPER(RIGHT(Tabulka1[[#This Row],[Jmeno bez mezer]],2)))</f>
        <v>benNA</v>
      </c>
      <c r="J292" s="2" t="s">
        <v>1411</v>
      </c>
      <c r="K292" s="2" t="s">
        <v>1728</v>
      </c>
      <c r="L292" s="3" t="s">
        <v>2301</v>
      </c>
    </row>
    <row r="293" spans="1:12" ht="45" x14ac:dyDescent="0.25">
      <c r="A293" s="2" t="s">
        <v>674</v>
      </c>
      <c r="B293" t="s">
        <v>675</v>
      </c>
      <c r="C293" t="s">
        <v>387</v>
      </c>
      <c r="D293" t="str">
        <f>TRIM(Tabulka1[[#This Row],[Jméno]])</f>
        <v>Radka</v>
      </c>
      <c r="E293" t="str">
        <f>TRIM(Tabulka1[[#This Row],[Příjmení]])</f>
        <v>Vaneckova</v>
      </c>
      <c r="F293" s="2" t="str">
        <f>MID(Tabulka1[[#This Row],[Adresa]],1,SEARCH(",",Tabulka1[[#This Row],[Adresa]])-1)</f>
        <v>Nové Město 1</v>
      </c>
      <c r="G293" s="2" t="str">
        <f>RIGHT(Tabulka1[[#This Row],[Adresa]],LEN(Tabulka1[[#This Row],[Adresa]])-LEN(Tabulka1[[#This Row],[Ulice]])-1)</f>
        <v>Ledec nad Sázavou</v>
      </c>
      <c r="H293" s="2" t="str">
        <f>_xlfn.CONCAT(LOWER(Tabulka1[[#This Row],[příjmení bez mezer]]),".",LOWER(Tabulka1[[#This Row],[Jmeno bez mezer]]),"@firmaabc.cz")</f>
        <v>vaneckova.radka@firmaabc.cz</v>
      </c>
      <c r="I293" s="2" t="str">
        <f>_xlfn.CONCAT(LOWER(LEFT(Tabulka1[[#This Row],[příjmení bez mezer]],3)),UPPER(RIGHT(Tabulka1[[#This Row],[Jmeno bez mezer]],2)))</f>
        <v>vanKA</v>
      </c>
      <c r="J293" s="2" t="s">
        <v>1412</v>
      </c>
      <c r="K293" s="2" t="s">
        <v>1663</v>
      </c>
      <c r="L293" s="3" t="s">
        <v>2302</v>
      </c>
    </row>
    <row r="294" spans="1:12" ht="30" x14ac:dyDescent="0.25">
      <c r="A294" s="2" t="s">
        <v>676</v>
      </c>
      <c r="B294" t="s">
        <v>677</v>
      </c>
      <c r="C294" t="s">
        <v>678</v>
      </c>
      <c r="D294" t="str">
        <f>TRIM(Tabulka1[[#This Row],[Jméno]])</f>
        <v>Miluse</v>
      </c>
      <c r="E294" t="str">
        <f>TRIM(Tabulka1[[#This Row],[Příjmení]])</f>
        <v>Masterova</v>
      </c>
      <c r="F294" s="2" t="str">
        <f>MID(Tabulka1[[#This Row],[Adresa]],1,SEARCH(",",Tabulka1[[#This Row],[Adresa]])-1)</f>
        <v>Jabloňová 119</v>
      </c>
      <c r="G294" s="2" t="str">
        <f>RIGHT(Tabulka1[[#This Row],[Adresa]],LEN(Tabulka1[[#This Row],[Adresa]])-LEN(Tabulka1[[#This Row],[Ulice]])-1)</f>
        <v>Luže</v>
      </c>
      <c r="H294" s="2" t="str">
        <f>_xlfn.CONCAT(LOWER(Tabulka1[[#This Row],[příjmení bez mezer]]),".",LOWER(Tabulka1[[#This Row],[Jmeno bez mezer]]),"@firmaabc.cz")</f>
        <v>masterova.miluse@firmaabc.cz</v>
      </c>
      <c r="I294" s="2" t="str">
        <f>_xlfn.CONCAT(LOWER(LEFT(Tabulka1[[#This Row],[příjmení bez mezer]],3)),UPPER(RIGHT(Tabulka1[[#This Row],[Jmeno bez mezer]],2)))</f>
        <v>masSE</v>
      </c>
      <c r="J294" s="2" t="s">
        <v>1413</v>
      </c>
      <c r="K294" s="2" t="s">
        <v>1647</v>
      </c>
      <c r="L294" s="3" t="s">
        <v>2303</v>
      </c>
    </row>
    <row r="295" spans="1:12" ht="30" x14ac:dyDescent="0.25">
      <c r="A295" s="2" t="s">
        <v>679</v>
      </c>
      <c r="B295" t="s">
        <v>258</v>
      </c>
      <c r="C295" t="s">
        <v>680</v>
      </c>
      <c r="D295" t="str">
        <f>TRIM(Tabulka1[[#This Row],[Jméno]])</f>
        <v>Bohuslav</v>
      </c>
      <c r="E295" t="str">
        <f>TRIM(Tabulka1[[#This Row],[Příjmení]])</f>
        <v>Prochazka</v>
      </c>
      <c r="F295" s="2" t="str">
        <f>MID(Tabulka1[[#This Row],[Adresa]],1,SEARCH(",",Tabulka1[[#This Row],[Adresa]])-1)</f>
        <v>Suhrady 735</v>
      </c>
      <c r="G295" s="2" t="str">
        <f>RIGHT(Tabulka1[[#This Row],[Adresa]],LEN(Tabulka1[[#This Row],[Adresa]])-LEN(Tabulka1[[#This Row],[Ulice]])-1)</f>
        <v>Ludgerovice</v>
      </c>
      <c r="H295" s="2" t="str">
        <f>_xlfn.CONCAT(LOWER(Tabulka1[[#This Row],[příjmení bez mezer]]),".",LOWER(Tabulka1[[#This Row],[Jmeno bez mezer]]),"@firmaabc.cz")</f>
        <v>prochazka.bohuslav@firmaabc.cz</v>
      </c>
      <c r="I295" s="2" t="str">
        <f>_xlfn.CONCAT(LOWER(LEFT(Tabulka1[[#This Row],[příjmení bez mezer]],3)),UPPER(RIGHT(Tabulka1[[#This Row],[Jmeno bez mezer]],2)))</f>
        <v>proAV</v>
      </c>
      <c r="J295" s="2" t="s">
        <v>1414</v>
      </c>
      <c r="K295" s="2" t="s">
        <v>1861</v>
      </c>
      <c r="L295" s="3" t="s">
        <v>2304</v>
      </c>
    </row>
    <row r="296" spans="1:12" ht="30" x14ac:dyDescent="0.25">
      <c r="A296" s="2" t="s">
        <v>681</v>
      </c>
      <c r="B296" t="s">
        <v>682</v>
      </c>
      <c r="C296" t="s">
        <v>683</v>
      </c>
      <c r="D296" t="str">
        <f>TRIM(Tabulka1[[#This Row],[Jméno]])</f>
        <v>Vladimira</v>
      </c>
      <c r="E296" t="str">
        <f>TRIM(Tabulka1[[#This Row],[Příjmení]])</f>
        <v>Pospisilova</v>
      </c>
      <c r="F296" s="2" t="str">
        <f>MID(Tabulka1[[#This Row],[Adresa]],1,SEARCH(",",Tabulka1[[#This Row],[Adresa]])-1)</f>
        <v>Nová 1626</v>
      </c>
      <c r="G296" s="2" t="str">
        <f>RIGHT(Tabulka1[[#This Row],[Adresa]],LEN(Tabulka1[[#This Row],[Adresa]])-LEN(Tabulka1[[#This Row],[Ulice]])-1)</f>
        <v>Mšeno u Melníka</v>
      </c>
      <c r="H296" s="2" t="str">
        <f>_xlfn.CONCAT(LOWER(Tabulka1[[#This Row],[příjmení bez mezer]]),".",LOWER(Tabulka1[[#This Row],[Jmeno bez mezer]]),"@firmaabc.cz")</f>
        <v>pospisilova.vladimira@firmaabc.cz</v>
      </c>
      <c r="I296" s="2" t="str">
        <f>_xlfn.CONCAT(LOWER(LEFT(Tabulka1[[#This Row],[příjmení bez mezer]],3)),UPPER(RIGHT(Tabulka1[[#This Row],[Jmeno bez mezer]],2)))</f>
        <v>posRA</v>
      </c>
      <c r="J296" s="2" t="s">
        <v>1415</v>
      </c>
      <c r="K296" s="2" t="s">
        <v>1779</v>
      </c>
      <c r="L296" s="3" t="s">
        <v>2305</v>
      </c>
    </row>
    <row r="297" spans="1:12" ht="45" x14ac:dyDescent="0.25">
      <c r="A297" s="2" t="s">
        <v>684</v>
      </c>
      <c r="B297" t="s">
        <v>685</v>
      </c>
      <c r="C297" t="s">
        <v>686</v>
      </c>
      <c r="D297" t="str">
        <f>TRIM(Tabulka1[[#This Row],[Jméno]])</f>
        <v>Vlastislav</v>
      </c>
      <c r="E297" t="str">
        <f>TRIM(Tabulka1[[#This Row],[Příjmení]])</f>
        <v>Repa</v>
      </c>
      <c r="F297" s="2" t="str">
        <f>MID(Tabulka1[[#This Row],[Adresa]],1,SEARCH(",",Tabulka1[[#This Row],[Adresa]])-1)</f>
        <v>U Sokolovny 1763</v>
      </c>
      <c r="G297" s="2" t="str">
        <f>RIGHT(Tabulka1[[#This Row],[Adresa]],LEN(Tabulka1[[#This Row],[Adresa]])-LEN(Tabulka1[[#This Row],[Ulice]])-1)</f>
        <v>Nový Bydžov</v>
      </c>
      <c r="H297" s="2" t="str">
        <f>_xlfn.CONCAT(LOWER(Tabulka1[[#This Row],[příjmení bez mezer]]),".",LOWER(Tabulka1[[#This Row],[Jmeno bez mezer]]),"@firmaabc.cz")</f>
        <v>repa.vlastislav@firmaabc.cz</v>
      </c>
      <c r="I297" s="2" t="str">
        <f>_xlfn.CONCAT(LOWER(LEFT(Tabulka1[[#This Row],[příjmení bez mezer]],3)),UPPER(RIGHT(Tabulka1[[#This Row],[Jmeno bez mezer]],2)))</f>
        <v>repAV</v>
      </c>
      <c r="J297" s="2" t="s">
        <v>1416</v>
      </c>
      <c r="K297" s="2" t="s">
        <v>1862</v>
      </c>
      <c r="L297" s="3" t="s">
        <v>2306</v>
      </c>
    </row>
    <row r="298" spans="1:12" ht="30" x14ac:dyDescent="0.25">
      <c r="A298" s="2" t="s">
        <v>687</v>
      </c>
      <c r="B298" t="s">
        <v>423</v>
      </c>
      <c r="C298" t="s">
        <v>688</v>
      </c>
      <c r="D298" t="str">
        <f>TRIM(Tabulka1[[#This Row],[Jméno]])</f>
        <v>Ruzena</v>
      </c>
      <c r="E298" t="str">
        <f>TRIM(Tabulka1[[#This Row],[Příjmení]])</f>
        <v>Krausova</v>
      </c>
      <c r="F298" s="2" t="str">
        <f>MID(Tabulka1[[#This Row],[Adresa]],1,SEARCH(",",Tabulka1[[#This Row],[Adresa]])-1)</f>
        <v>Hálkova 1508</v>
      </c>
      <c r="G298" s="2" t="str">
        <f>RIGHT(Tabulka1[[#This Row],[Adresa]],LEN(Tabulka1[[#This Row],[Adresa]])-LEN(Tabulka1[[#This Row],[Ulice]])-1)</f>
        <v>Stráž pod Ralskem</v>
      </c>
      <c r="H298" s="2" t="str">
        <f>_xlfn.CONCAT(LOWER(Tabulka1[[#This Row],[příjmení bez mezer]]),".",LOWER(Tabulka1[[#This Row],[Jmeno bez mezer]]),"@firmaabc.cz")</f>
        <v>krausova.ruzena@firmaabc.cz</v>
      </c>
      <c r="I298" s="2" t="str">
        <f>_xlfn.CONCAT(LOWER(LEFT(Tabulka1[[#This Row],[příjmení bez mezer]],3)),UPPER(RIGHT(Tabulka1[[#This Row],[Jmeno bez mezer]],2)))</f>
        <v>kraNA</v>
      </c>
      <c r="J298" s="2" t="s">
        <v>1417</v>
      </c>
      <c r="K298" s="2" t="s">
        <v>1863</v>
      </c>
      <c r="L298" s="3" t="s">
        <v>2307</v>
      </c>
    </row>
    <row r="299" spans="1:12" ht="45" x14ac:dyDescent="0.25">
      <c r="A299" s="2" t="s">
        <v>689</v>
      </c>
      <c r="B299" t="s">
        <v>242</v>
      </c>
      <c r="C299" t="s">
        <v>690</v>
      </c>
      <c r="D299" t="str">
        <f>TRIM(Tabulka1[[#This Row],[Jméno]])</f>
        <v>Roman</v>
      </c>
      <c r="E299" t="str">
        <f>TRIM(Tabulka1[[#This Row],[Příjmení]])</f>
        <v>Machacek</v>
      </c>
      <c r="F299" s="2" t="str">
        <f>MID(Tabulka1[[#This Row],[Adresa]],1,SEARCH(",",Tabulka1[[#This Row],[Adresa]])-1)</f>
        <v>U Křížku 990</v>
      </c>
      <c r="G299" s="2" t="str">
        <f>RIGHT(Tabulka1[[#This Row],[Adresa]],LEN(Tabulka1[[#This Row],[Adresa]])-LEN(Tabulka1[[#This Row],[Ulice]])-1)</f>
        <v>Frýdlant v Cechách</v>
      </c>
      <c r="H299" s="2" t="str">
        <f>_xlfn.CONCAT(LOWER(Tabulka1[[#This Row],[příjmení bez mezer]]),".",LOWER(Tabulka1[[#This Row],[Jmeno bez mezer]]),"@firmaabc.cz")</f>
        <v>machacek.roman@firmaabc.cz</v>
      </c>
      <c r="I299" s="2" t="str">
        <f>_xlfn.CONCAT(LOWER(LEFT(Tabulka1[[#This Row],[příjmení bez mezer]],3)),UPPER(RIGHT(Tabulka1[[#This Row],[Jmeno bez mezer]],2)))</f>
        <v>macAN</v>
      </c>
      <c r="J299" s="2" t="s">
        <v>1418</v>
      </c>
      <c r="K299" s="2" t="s">
        <v>1769</v>
      </c>
      <c r="L299" s="3" t="s">
        <v>2308</v>
      </c>
    </row>
    <row r="300" spans="1:12" ht="30" x14ac:dyDescent="0.25">
      <c r="A300" s="2" t="s">
        <v>691</v>
      </c>
      <c r="B300" t="s">
        <v>303</v>
      </c>
      <c r="C300" t="s">
        <v>692</v>
      </c>
      <c r="D300" t="str">
        <f>TRIM(Tabulka1[[#This Row],[Jméno]])</f>
        <v>Lenka</v>
      </c>
      <c r="E300" t="str">
        <f>TRIM(Tabulka1[[#This Row],[Příjmení]])</f>
        <v>Kejvalova</v>
      </c>
      <c r="F300" s="2" t="str">
        <f>MID(Tabulka1[[#This Row],[Adresa]],1,SEARCH(",",Tabulka1[[#This Row],[Adresa]])-1)</f>
        <v>Za humny 250</v>
      </c>
      <c r="G300" s="2" t="str">
        <f>RIGHT(Tabulka1[[#This Row],[Adresa]],LEN(Tabulka1[[#This Row],[Adresa]])-LEN(Tabulka1[[#This Row],[Ulice]])-1)</f>
        <v>Milevsko 1</v>
      </c>
      <c r="H300" s="2" t="str">
        <f>_xlfn.CONCAT(LOWER(Tabulka1[[#This Row],[příjmení bez mezer]]),".",LOWER(Tabulka1[[#This Row],[Jmeno bez mezer]]),"@firmaabc.cz")</f>
        <v>kejvalova.lenka@firmaabc.cz</v>
      </c>
      <c r="I300" s="2" t="str">
        <f>_xlfn.CONCAT(LOWER(LEFT(Tabulka1[[#This Row],[příjmení bez mezer]],3)),UPPER(RIGHT(Tabulka1[[#This Row],[Jmeno bez mezer]],2)))</f>
        <v>kejKA</v>
      </c>
      <c r="J300" s="2" t="s">
        <v>1419</v>
      </c>
      <c r="K300" s="2" t="s">
        <v>1766</v>
      </c>
      <c r="L300" s="3" t="s">
        <v>2309</v>
      </c>
    </row>
    <row r="301" spans="1:12" ht="45" x14ac:dyDescent="0.25">
      <c r="A301" s="2" t="s">
        <v>693</v>
      </c>
      <c r="B301" t="s">
        <v>145</v>
      </c>
      <c r="C301" t="s">
        <v>694</v>
      </c>
      <c r="D301" t="str">
        <f>TRIM(Tabulka1[[#This Row],[Jméno]])</f>
        <v>Hana</v>
      </c>
      <c r="E301" t="str">
        <f>TRIM(Tabulka1[[#This Row],[Příjmení]])</f>
        <v>Hrdinova</v>
      </c>
      <c r="F301" s="2" t="str">
        <f>MID(Tabulka1[[#This Row],[Adresa]],1,SEARCH(",",Tabulka1[[#This Row],[Adresa]])-1)</f>
        <v>U Křížku 328</v>
      </c>
      <c r="G301" s="2" t="str">
        <f>RIGHT(Tabulka1[[#This Row],[Adresa]],LEN(Tabulka1[[#This Row],[Adresa]])-LEN(Tabulka1[[#This Row],[Ulice]])-1)</f>
        <v>Jablonec nad Nisou 4</v>
      </c>
      <c r="H301" s="2" t="str">
        <f>_xlfn.CONCAT(LOWER(Tabulka1[[#This Row],[příjmení bez mezer]]),".",LOWER(Tabulka1[[#This Row],[Jmeno bez mezer]]),"@firmaabc.cz")</f>
        <v>hrdinova.hana@firmaabc.cz</v>
      </c>
      <c r="I301" s="2" t="str">
        <f>_xlfn.CONCAT(LOWER(LEFT(Tabulka1[[#This Row],[příjmení bez mezer]],3)),UPPER(RIGHT(Tabulka1[[#This Row],[Jmeno bez mezer]],2)))</f>
        <v>hrdNA</v>
      </c>
      <c r="J301" s="2" t="s">
        <v>1420</v>
      </c>
      <c r="K301" s="2" t="s">
        <v>1864</v>
      </c>
      <c r="L301" s="3" t="s">
        <v>2310</v>
      </c>
    </row>
    <row r="302" spans="1:12" ht="30" x14ac:dyDescent="0.25">
      <c r="A302" s="2" t="s">
        <v>695</v>
      </c>
      <c r="B302" t="s">
        <v>24</v>
      </c>
      <c r="C302" t="s">
        <v>163</v>
      </c>
      <c r="D302" t="str">
        <f>TRIM(Tabulka1[[#This Row],[Jméno]])</f>
        <v>Jan</v>
      </c>
      <c r="E302" t="str">
        <f>TRIM(Tabulka1[[#This Row],[Příjmení]])</f>
        <v>Novak</v>
      </c>
      <c r="F302" s="2" t="str">
        <f>MID(Tabulka1[[#This Row],[Adresa]],1,SEARCH(",",Tabulka1[[#This Row],[Adresa]])-1)</f>
        <v>Vrchlického 326</v>
      </c>
      <c r="G302" s="2" t="str">
        <f>RIGHT(Tabulka1[[#This Row],[Adresa]],LEN(Tabulka1[[#This Row],[Adresa]])-LEN(Tabulka1[[#This Row],[Ulice]])-1)</f>
        <v>Znojmo 2</v>
      </c>
      <c r="H302" s="2" t="str">
        <f>_xlfn.CONCAT(LOWER(Tabulka1[[#This Row],[příjmení bez mezer]]),".",LOWER(Tabulka1[[#This Row],[Jmeno bez mezer]]),"@firmaabc.cz")</f>
        <v>novak.jan@firmaabc.cz</v>
      </c>
      <c r="I302" s="2" t="str">
        <f>_xlfn.CONCAT(LOWER(LEFT(Tabulka1[[#This Row],[příjmení bez mezer]],3)),UPPER(RIGHT(Tabulka1[[#This Row],[Jmeno bez mezer]],2)))</f>
        <v>novAN</v>
      </c>
      <c r="J302" s="2" t="s">
        <v>1421</v>
      </c>
      <c r="K302" s="2" t="s">
        <v>1629</v>
      </c>
      <c r="L302" s="3" t="s">
        <v>2311</v>
      </c>
    </row>
    <row r="303" spans="1:12" ht="45" x14ac:dyDescent="0.25">
      <c r="A303" s="2" t="s">
        <v>696</v>
      </c>
      <c r="B303" t="s">
        <v>697</v>
      </c>
      <c r="C303" t="s">
        <v>698</v>
      </c>
      <c r="D303" t="str">
        <f>TRIM(Tabulka1[[#This Row],[Jméno]])</f>
        <v>Marcela</v>
      </c>
      <c r="E303" t="str">
        <f>TRIM(Tabulka1[[#This Row],[Příjmení]])</f>
        <v>Novakova</v>
      </c>
      <c r="F303" s="2" t="str">
        <f>MID(Tabulka1[[#This Row],[Adresa]],1,SEARCH(",",Tabulka1[[#This Row],[Adresa]])-1)</f>
        <v>Klimenta Čermáka 1759</v>
      </c>
      <c r="G303" s="2" t="str">
        <f>RIGHT(Tabulka1[[#This Row],[Adresa]],LEN(Tabulka1[[#This Row],[Adresa]])-LEN(Tabulka1[[#This Row],[Ulice]])-1)</f>
        <v>Cáslav</v>
      </c>
      <c r="H303" s="2" t="str">
        <f>_xlfn.CONCAT(LOWER(Tabulka1[[#This Row],[příjmení bez mezer]]),".",LOWER(Tabulka1[[#This Row],[Jmeno bez mezer]]),"@firmaabc.cz")</f>
        <v>novakova.marcela@firmaabc.cz</v>
      </c>
      <c r="I303" s="2" t="str">
        <f>_xlfn.CONCAT(LOWER(LEFT(Tabulka1[[#This Row],[příjmení bez mezer]],3)),UPPER(RIGHT(Tabulka1[[#This Row],[Jmeno bez mezer]],2)))</f>
        <v>novLA</v>
      </c>
      <c r="J303" s="2" t="s">
        <v>1422</v>
      </c>
      <c r="K303" s="2" t="s">
        <v>1727</v>
      </c>
      <c r="L303" s="3" t="s">
        <v>2312</v>
      </c>
    </row>
    <row r="304" spans="1:12" ht="45" x14ac:dyDescent="0.25">
      <c r="A304" s="2" t="s">
        <v>699</v>
      </c>
      <c r="B304" t="s">
        <v>253</v>
      </c>
      <c r="C304" t="s">
        <v>700</v>
      </c>
      <c r="D304" t="str">
        <f>TRIM(Tabulka1[[#This Row],[Jméno]])</f>
        <v>Eva</v>
      </c>
      <c r="E304" t="str">
        <f>TRIM(Tabulka1[[#This Row],[Příjmení]])</f>
        <v>Zednikova</v>
      </c>
      <c r="F304" s="2" t="str">
        <f>MID(Tabulka1[[#This Row],[Adresa]],1,SEARCH(",",Tabulka1[[#This Row],[Adresa]])-1)</f>
        <v>Jana Šťastného 1221</v>
      </c>
      <c r="G304" s="2" t="str">
        <f>RIGHT(Tabulka1[[#This Row],[Adresa]],LEN(Tabulka1[[#This Row],[Adresa]])-LEN(Tabulka1[[#This Row],[Ulice]])-1)</f>
        <v>Hvozdnice</v>
      </c>
      <c r="H304" s="2" t="str">
        <f>_xlfn.CONCAT(LOWER(Tabulka1[[#This Row],[příjmení bez mezer]]),".",LOWER(Tabulka1[[#This Row],[Jmeno bez mezer]]),"@firmaabc.cz")</f>
        <v>zednikova.eva@firmaabc.cz</v>
      </c>
      <c r="I304" s="2" t="str">
        <f>_xlfn.CONCAT(LOWER(LEFT(Tabulka1[[#This Row],[příjmení bez mezer]],3)),UPPER(RIGHT(Tabulka1[[#This Row],[Jmeno bez mezer]],2)))</f>
        <v>zedVA</v>
      </c>
      <c r="J304" s="2" t="s">
        <v>1423</v>
      </c>
      <c r="K304" s="2" t="s">
        <v>1865</v>
      </c>
      <c r="L304" s="3" t="s">
        <v>2313</v>
      </c>
    </row>
    <row r="305" spans="1:12" ht="45" x14ac:dyDescent="0.25">
      <c r="A305" s="2" t="s">
        <v>701</v>
      </c>
      <c r="B305" t="s">
        <v>702</v>
      </c>
      <c r="C305" t="s">
        <v>703</v>
      </c>
      <c r="D305" t="str">
        <f>TRIM(Tabulka1[[#This Row],[Jméno]])</f>
        <v>Ema</v>
      </c>
      <c r="E305" t="str">
        <f>TRIM(Tabulka1[[#This Row],[Příjmení]])</f>
        <v>Stiborova</v>
      </c>
      <c r="F305" s="2" t="str">
        <f>MID(Tabulka1[[#This Row],[Adresa]],1,SEARCH(",",Tabulka1[[#This Row],[Adresa]])-1)</f>
        <v>U Křížku 1657</v>
      </c>
      <c r="G305" s="2" t="str">
        <f>RIGHT(Tabulka1[[#This Row],[Adresa]],LEN(Tabulka1[[#This Row],[Adresa]])-LEN(Tabulka1[[#This Row],[Ulice]])-1)</f>
        <v>Frýdlant v Cechách</v>
      </c>
      <c r="H305" s="2" t="str">
        <f>_xlfn.CONCAT(LOWER(Tabulka1[[#This Row],[příjmení bez mezer]]),".",LOWER(Tabulka1[[#This Row],[Jmeno bez mezer]]),"@firmaabc.cz")</f>
        <v>stiborova.ema@firmaabc.cz</v>
      </c>
      <c r="I305" s="2" t="str">
        <f>_xlfn.CONCAT(LOWER(LEFT(Tabulka1[[#This Row],[příjmení bez mezer]],3)),UPPER(RIGHT(Tabulka1[[#This Row],[Jmeno bez mezer]],2)))</f>
        <v>stiMA</v>
      </c>
      <c r="J305" s="2" t="s">
        <v>1424</v>
      </c>
      <c r="K305" s="2" t="s">
        <v>1769</v>
      </c>
      <c r="L305" s="3" t="s">
        <v>2314</v>
      </c>
    </row>
    <row r="306" spans="1:12" ht="60" x14ac:dyDescent="0.25">
      <c r="A306" s="2" t="s">
        <v>704</v>
      </c>
      <c r="B306" t="s">
        <v>291</v>
      </c>
      <c r="C306" t="s">
        <v>705</v>
      </c>
      <c r="D306" t="str">
        <f>TRIM(Tabulka1[[#This Row],[Jméno]])</f>
        <v>Jirina</v>
      </c>
      <c r="E306" t="str">
        <f>TRIM(Tabulka1[[#This Row],[Příjmení]])</f>
        <v>Provaznikova</v>
      </c>
      <c r="F306" s="2" t="str">
        <f>MID(Tabulka1[[#This Row],[Adresa]],1,SEARCH(",",Tabulka1[[#This Row],[Adresa]])-1)</f>
        <v>Dobrovského 1723</v>
      </c>
      <c r="G306" s="2" t="str">
        <f>RIGHT(Tabulka1[[#This Row],[Adresa]],LEN(Tabulka1[[#This Row],[Adresa]])-LEN(Tabulka1[[#This Row],[Ulice]])-1)</f>
        <v>Kostelec nad Cernými Lesy</v>
      </c>
      <c r="H306" s="2" t="str">
        <f>_xlfn.CONCAT(LOWER(Tabulka1[[#This Row],[příjmení bez mezer]]),".",LOWER(Tabulka1[[#This Row],[Jmeno bez mezer]]),"@firmaabc.cz")</f>
        <v>provaznikova.jirina@firmaabc.cz</v>
      </c>
      <c r="I306" s="2" t="str">
        <f>_xlfn.CONCAT(LOWER(LEFT(Tabulka1[[#This Row],[příjmení bez mezer]],3)),UPPER(RIGHT(Tabulka1[[#This Row],[Jmeno bez mezer]],2)))</f>
        <v>proNA</v>
      </c>
      <c r="J306" s="2" t="s">
        <v>1425</v>
      </c>
      <c r="K306" s="2" t="s">
        <v>1673</v>
      </c>
      <c r="L306" s="3" t="s">
        <v>2315</v>
      </c>
    </row>
    <row r="307" spans="1:12" ht="30" x14ac:dyDescent="0.25">
      <c r="A307" s="2" t="s">
        <v>706</v>
      </c>
      <c r="B307" t="s">
        <v>707</v>
      </c>
      <c r="C307" t="s">
        <v>708</v>
      </c>
      <c r="D307" t="str">
        <f>TRIM(Tabulka1[[#This Row],[Jméno]])</f>
        <v>Bozena</v>
      </c>
      <c r="E307" t="str">
        <f>TRIM(Tabulka1[[#This Row],[Příjmení]])</f>
        <v>Forejtova</v>
      </c>
      <c r="F307" s="2" t="str">
        <f>MID(Tabulka1[[#This Row],[Adresa]],1,SEARCH(",",Tabulka1[[#This Row],[Adresa]])-1)</f>
        <v>Družstevní 399</v>
      </c>
      <c r="G307" s="2" t="str">
        <f>RIGHT(Tabulka1[[#This Row],[Adresa]],LEN(Tabulka1[[#This Row],[Adresa]])-LEN(Tabulka1[[#This Row],[Ulice]])-1)</f>
        <v>Unhošt</v>
      </c>
      <c r="H307" s="2" t="str">
        <f>_xlfn.CONCAT(LOWER(Tabulka1[[#This Row],[příjmení bez mezer]]),".",LOWER(Tabulka1[[#This Row],[Jmeno bez mezer]]),"@firmaabc.cz")</f>
        <v>forejtova.bozena@firmaabc.cz</v>
      </c>
      <c r="I307" s="2" t="str">
        <f>_xlfn.CONCAT(LOWER(LEFT(Tabulka1[[#This Row],[příjmení bez mezer]],3)),UPPER(RIGHT(Tabulka1[[#This Row],[Jmeno bez mezer]],2)))</f>
        <v>forNA</v>
      </c>
      <c r="J307" s="2" t="s">
        <v>1426</v>
      </c>
      <c r="K307" s="2" t="s">
        <v>1866</v>
      </c>
      <c r="L307" s="3" t="s">
        <v>2316</v>
      </c>
    </row>
    <row r="308" spans="1:12" ht="30" x14ac:dyDescent="0.25">
      <c r="A308" s="2" t="s">
        <v>709</v>
      </c>
      <c r="B308" t="s">
        <v>710</v>
      </c>
      <c r="C308" t="s">
        <v>711</v>
      </c>
      <c r="D308" t="str">
        <f>TRIM(Tabulka1[[#This Row],[Jméno]])</f>
        <v>Valerie</v>
      </c>
      <c r="E308" t="str">
        <f>TRIM(Tabulka1[[#This Row],[Příjmení]])</f>
        <v>Hrabetova</v>
      </c>
      <c r="F308" s="2" t="str">
        <f>MID(Tabulka1[[#This Row],[Adresa]],1,SEARCH(",",Tabulka1[[#This Row],[Adresa]])-1)</f>
        <v>Petrželka 966</v>
      </c>
      <c r="G308" s="2" t="str">
        <f>RIGHT(Tabulka1[[#This Row],[Adresa]],LEN(Tabulka1[[#This Row],[Adresa]])-LEN(Tabulka1[[#This Row],[Ulice]])-1)</f>
        <v>Zdounky</v>
      </c>
      <c r="H308" s="2" t="str">
        <f>_xlfn.CONCAT(LOWER(Tabulka1[[#This Row],[příjmení bez mezer]]),".",LOWER(Tabulka1[[#This Row],[Jmeno bez mezer]]),"@firmaabc.cz")</f>
        <v>hrabetova.valerie@firmaabc.cz</v>
      </c>
      <c r="I308" s="2" t="str">
        <f>_xlfn.CONCAT(LOWER(LEFT(Tabulka1[[#This Row],[příjmení bez mezer]],3)),UPPER(RIGHT(Tabulka1[[#This Row],[Jmeno bez mezer]],2)))</f>
        <v>hraIE</v>
      </c>
      <c r="J308" s="2" t="s">
        <v>1427</v>
      </c>
      <c r="K308" s="2" t="s">
        <v>1867</v>
      </c>
      <c r="L308" s="3" t="s">
        <v>2317</v>
      </c>
    </row>
    <row r="309" spans="1:12" ht="45" x14ac:dyDescent="0.25">
      <c r="A309" s="2" t="s">
        <v>712</v>
      </c>
      <c r="B309" t="s">
        <v>713</v>
      </c>
      <c r="C309" t="s">
        <v>714</v>
      </c>
      <c r="D309" t="str">
        <f>TRIM(Tabulka1[[#This Row],[Jméno]])</f>
        <v>Maria</v>
      </c>
      <c r="E309" t="str">
        <f>TRIM(Tabulka1[[#This Row],[Příjmení]])</f>
        <v>Zetkova</v>
      </c>
      <c r="F309" s="2" t="str">
        <f>MID(Tabulka1[[#This Row],[Adresa]],1,SEARCH(",",Tabulka1[[#This Row],[Adresa]])-1)</f>
        <v>V Zahradách 1987</v>
      </c>
      <c r="G309" s="2" t="str">
        <f>RIGHT(Tabulka1[[#This Row],[Adresa]],LEN(Tabulka1[[#This Row],[Adresa]])-LEN(Tabulka1[[#This Row],[Ulice]])-1)</f>
        <v>Domaželice u Prerova</v>
      </c>
      <c r="H309" s="2" t="str">
        <f>_xlfn.CONCAT(LOWER(Tabulka1[[#This Row],[příjmení bez mezer]]),".",LOWER(Tabulka1[[#This Row],[Jmeno bez mezer]]),"@firmaabc.cz")</f>
        <v>zetkova.maria@firmaabc.cz</v>
      </c>
      <c r="I309" s="2" t="str">
        <f>_xlfn.CONCAT(LOWER(LEFT(Tabulka1[[#This Row],[příjmení bez mezer]],3)),UPPER(RIGHT(Tabulka1[[#This Row],[Jmeno bez mezer]],2)))</f>
        <v>zetIA</v>
      </c>
      <c r="J309" s="2" t="s">
        <v>1428</v>
      </c>
      <c r="K309" s="2" t="s">
        <v>1868</v>
      </c>
      <c r="L309" s="3" t="s">
        <v>2318</v>
      </c>
    </row>
    <row r="310" spans="1:12" ht="45" x14ac:dyDescent="0.25">
      <c r="A310" s="2" t="s">
        <v>715</v>
      </c>
      <c r="B310" t="s">
        <v>716</v>
      </c>
      <c r="C310" t="s">
        <v>717</v>
      </c>
      <c r="D310" t="str">
        <f>TRIM(Tabulka1[[#This Row],[Jméno]])</f>
        <v>Renata</v>
      </c>
      <c r="E310" t="str">
        <f>TRIM(Tabulka1[[#This Row],[Příjmení]])</f>
        <v>Jindrichova</v>
      </c>
      <c r="F310" s="2" t="str">
        <f>MID(Tabulka1[[#This Row],[Adresa]],1,SEARCH(",",Tabulka1[[#This Row],[Adresa]])-1)</f>
        <v>Palackého 1552</v>
      </c>
      <c r="G310" s="2" t="str">
        <f>RIGHT(Tabulka1[[#This Row],[Adresa]],LEN(Tabulka1[[#This Row],[Adresa]])-LEN(Tabulka1[[#This Row],[Ulice]])-1)</f>
        <v>Kostelec u Holešova</v>
      </c>
      <c r="H310" s="2" t="str">
        <f>_xlfn.CONCAT(LOWER(Tabulka1[[#This Row],[příjmení bez mezer]]),".",LOWER(Tabulka1[[#This Row],[Jmeno bez mezer]]),"@firmaabc.cz")</f>
        <v>jindrichova.renata@firmaabc.cz</v>
      </c>
      <c r="I310" s="2" t="str">
        <f>_xlfn.CONCAT(LOWER(LEFT(Tabulka1[[#This Row],[příjmení bez mezer]],3)),UPPER(RIGHT(Tabulka1[[#This Row],[Jmeno bez mezer]],2)))</f>
        <v>jinTA</v>
      </c>
      <c r="J310" s="2" t="s">
        <v>1429</v>
      </c>
      <c r="K310" s="2" t="s">
        <v>1869</v>
      </c>
      <c r="L310" s="3" t="s">
        <v>2319</v>
      </c>
    </row>
    <row r="311" spans="1:12" ht="45" x14ac:dyDescent="0.25">
      <c r="A311" s="2" t="s">
        <v>718</v>
      </c>
      <c r="B311" t="s">
        <v>24</v>
      </c>
      <c r="C311" t="s">
        <v>719</v>
      </c>
      <c r="D311" t="str">
        <f>TRIM(Tabulka1[[#This Row],[Jméno]])</f>
        <v>Jan</v>
      </c>
      <c r="E311" t="str">
        <f>TRIM(Tabulka1[[#This Row],[Příjmení]])</f>
        <v>Zatloukal</v>
      </c>
      <c r="F311" s="2" t="str">
        <f>MID(Tabulka1[[#This Row],[Adresa]],1,SEARCH(",",Tabulka1[[#This Row],[Adresa]])-1)</f>
        <v>Rvačov 1564</v>
      </c>
      <c r="G311" s="2" t="str">
        <f>RIGHT(Tabulka1[[#This Row],[Adresa]],LEN(Tabulka1[[#This Row],[Adresa]])-LEN(Tabulka1[[#This Row],[Ulice]])-1)</f>
        <v>Roudnice nad Labem</v>
      </c>
      <c r="H311" s="2" t="str">
        <f>_xlfn.CONCAT(LOWER(Tabulka1[[#This Row],[příjmení bez mezer]]),".",LOWER(Tabulka1[[#This Row],[Jmeno bez mezer]]),"@firmaabc.cz")</f>
        <v>zatloukal.jan@firmaabc.cz</v>
      </c>
      <c r="I311" s="2" t="str">
        <f>_xlfn.CONCAT(LOWER(LEFT(Tabulka1[[#This Row],[příjmení bez mezer]],3)),UPPER(RIGHT(Tabulka1[[#This Row],[Jmeno bez mezer]],2)))</f>
        <v>zatAN</v>
      </c>
      <c r="J311" s="2" t="s">
        <v>1430</v>
      </c>
      <c r="K311" s="2" t="s">
        <v>1635</v>
      </c>
      <c r="L311" s="3" t="s">
        <v>2320</v>
      </c>
    </row>
    <row r="312" spans="1:12" ht="30" x14ac:dyDescent="0.25">
      <c r="A312" s="2" t="s">
        <v>720</v>
      </c>
      <c r="B312" t="s">
        <v>30</v>
      </c>
      <c r="C312" t="s">
        <v>721</v>
      </c>
      <c r="D312" t="str">
        <f>TRIM(Tabulka1[[#This Row],[Jméno]])</f>
        <v>Michal</v>
      </c>
      <c r="E312" t="str">
        <f>TRIM(Tabulka1[[#This Row],[Příjmení]])</f>
        <v>Vodehnal</v>
      </c>
      <c r="F312" s="2" t="str">
        <f>MID(Tabulka1[[#This Row],[Adresa]],1,SEARCH(",",Tabulka1[[#This Row],[Adresa]])-1)</f>
        <v>Pivovarská 1223</v>
      </c>
      <c r="G312" s="2" t="str">
        <f>RIGHT(Tabulka1[[#This Row],[Adresa]],LEN(Tabulka1[[#This Row],[Adresa]])-LEN(Tabulka1[[#This Row],[Ulice]])-1)</f>
        <v>Lovosice 2</v>
      </c>
      <c r="H312" s="2" t="str">
        <f>_xlfn.CONCAT(LOWER(Tabulka1[[#This Row],[příjmení bez mezer]]),".",LOWER(Tabulka1[[#This Row],[Jmeno bez mezer]]),"@firmaabc.cz")</f>
        <v>vodehnal.michal@firmaabc.cz</v>
      </c>
      <c r="I312" s="2" t="str">
        <f>_xlfn.CONCAT(LOWER(LEFT(Tabulka1[[#This Row],[příjmení bez mezer]],3)),UPPER(RIGHT(Tabulka1[[#This Row],[Jmeno bez mezer]],2)))</f>
        <v>vodAL</v>
      </c>
      <c r="J312" s="2" t="s">
        <v>1431</v>
      </c>
      <c r="K312" s="2" t="s">
        <v>1683</v>
      </c>
      <c r="L312" s="3" t="s">
        <v>2321</v>
      </c>
    </row>
    <row r="313" spans="1:12" ht="30" x14ac:dyDescent="0.25">
      <c r="A313" s="2" t="s">
        <v>722</v>
      </c>
      <c r="B313" t="s">
        <v>239</v>
      </c>
      <c r="C313" t="s">
        <v>723</v>
      </c>
      <c r="D313" t="str">
        <f>TRIM(Tabulka1[[#This Row],[Jméno]])</f>
        <v>Antonin</v>
      </c>
      <c r="E313" t="str">
        <f>TRIM(Tabulka1[[#This Row],[Příjmení]])</f>
        <v>Beneda</v>
      </c>
      <c r="F313" s="2" t="str">
        <f>MID(Tabulka1[[#This Row],[Adresa]],1,SEARCH(",",Tabulka1[[#This Row],[Adresa]])-1)</f>
        <v>Havlíčkova 565</v>
      </c>
      <c r="G313" s="2" t="str">
        <f>RIGHT(Tabulka1[[#This Row],[Adresa]],LEN(Tabulka1[[#This Row],[Adresa]])-LEN(Tabulka1[[#This Row],[Ulice]])-1)</f>
        <v>Mšec</v>
      </c>
      <c r="H313" s="2" t="str">
        <f>_xlfn.CONCAT(LOWER(Tabulka1[[#This Row],[příjmení bez mezer]]),".",LOWER(Tabulka1[[#This Row],[Jmeno bez mezer]]),"@firmaabc.cz")</f>
        <v>beneda.antonin@firmaabc.cz</v>
      </c>
      <c r="I313" s="2" t="str">
        <f>_xlfn.CONCAT(LOWER(LEFT(Tabulka1[[#This Row],[příjmení bez mezer]],3)),UPPER(RIGHT(Tabulka1[[#This Row],[Jmeno bez mezer]],2)))</f>
        <v>benIN</v>
      </c>
      <c r="J313" s="2" t="s">
        <v>1432</v>
      </c>
      <c r="K313" s="2" t="s">
        <v>1870</v>
      </c>
      <c r="L313" s="3" t="s">
        <v>2322</v>
      </c>
    </row>
    <row r="314" spans="1:12" x14ac:dyDescent="0.25">
      <c r="A314" s="2" t="s">
        <v>724</v>
      </c>
      <c r="B314" t="s">
        <v>303</v>
      </c>
      <c r="C314" t="s">
        <v>304</v>
      </c>
      <c r="D314" t="str">
        <f>TRIM(Tabulka1[[#This Row],[Jméno]])</f>
        <v>Lenka</v>
      </c>
      <c r="E314" t="str">
        <f>TRIM(Tabulka1[[#This Row],[Příjmení]])</f>
        <v>Dolezalova</v>
      </c>
      <c r="F314" s="2" t="str">
        <f>MID(Tabulka1[[#This Row],[Adresa]],1,SEARCH(",",Tabulka1[[#This Row],[Adresa]])-1)</f>
        <v>Alšova 738</v>
      </c>
      <c r="G314" s="2" t="str">
        <f>RIGHT(Tabulka1[[#This Row],[Adresa]],LEN(Tabulka1[[#This Row],[Adresa]])-LEN(Tabulka1[[#This Row],[Ulice]])-1)</f>
        <v>Šlapanov</v>
      </c>
      <c r="H314" s="2" t="str">
        <f>_xlfn.CONCAT(LOWER(Tabulka1[[#This Row],[příjmení bez mezer]]),".",LOWER(Tabulka1[[#This Row],[Jmeno bez mezer]]),"@firmaabc.cz")</f>
        <v>dolezalova.lenka@firmaabc.cz</v>
      </c>
      <c r="I314" s="2" t="str">
        <f>_xlfn.CONCAT(LOWER(LEFT(Tabulka1[[#This Row],[příjmení bez mezer]],3)),UPPER(RIGHT(Tabulka1[[#This Row],[Jmeno bez mezer]],2)))</f>
        <v>dolKA</v>
      </c>
      <c r="J314" s="2" t="s">
        <v>1433</v>
      </c>
      <c r="K314" s="2" t="s">
        <v>1871</v>
      </c>
      <c r="L314" s="3" t="s">
        <v>2126</v>
      </c>
    </row>
    <row r="315" spans="1:12" ht="45" x14ac:dyDescent="0.25">
      <c r="A315" s="2" t="s">
        <v>725</v>
      </c>
      <c r="B315" t="s">
        <v>726</v>
      </c>
      <c r="C315" t="s">
        <v>727</v>
      </c>
      <c r="D315" t="str">
        <f>TRIM(Tabulka1[[#This Row],[Jméno]])</f>
        <v>Andrea</v>
      </c>
      <c r="E315" t="str">
        <f>TRIM(Tabulka1[[#This Row],[Příjmení]])</f>
        <v>Navratilova</v>
      </c>
      <c r="F315" s="2" t="str">
        <f>MID(Tabulka1[[#This Row],[Adresa]],1,SEARCH(",",Tabulka1[[#This Row],[Adresa]])-1)</f>
        <v>Havlíčkova 1558</v>
      </c>
      <c r="G315" s="2" t="str">
        <f>RIGHT(Tabulka1[[#This Row],[Adresa]],LEN(Tabulka1[[#This Row],[Adresa]])-LEN(Tabulka1[[#This Row],[Ulice]])-1)</f>
        <v>Lubná u Rakovníka</v>
      </c>
      <c r="H315" s="2" t="str">
        <f>_xlfn.CONCAT(LOWER(Tabulka1[[#This Row],[příjmení bez mezer]]),".",LOWER(Tabulka1[[#This Row],[Jmeno bez mezer]]),"@firmaabc.cz")</f>
        <v>navratilova.andrea@firmaabc.cz</v>
      </c>
      <c r="I315" s="2" t="str">
        <f>_xlfn.CONCAT(LOWER(LEFT(Tabulka1[[#This Row],[příjmení bez mezer]],3)),UPPER(RIGHT(Tabulka1[[#This Row],[Jmeno bez mezer]],2)))</f>
        <v>navEA</v>
      </c>
      <c r="J315" s="2" t="s">
        <v>1434</v>
      </c>
      <c r="K315" s="2" t="s">
        <v>1872</v>
      </c>
      <c r="L315" s="3" t="s">
        <v>2323</v>
      </c>
    </row>
    <row r="316" spans="1:12" x14ac:dyDescent="0.25">
      <c r="A316" s="2" t="s">
        <v>728</v>
      </c>
      <c r="B316" t="s">
        <v>113</v>
      </c>
      <c r="C316" t="s">
        <v>729</v>
      </c>
      <c r="D316" t="str">
        <f>TRIM(Tabulka1[[#This Row],[Jméno]])</f>
        <v>Jiri</v>
      </c>
      <c r="E316" t="str">
        <f>TRIM(Tabulka1[[#This Row],[Příjmení]])</f>
        <v>Charvat</v>
      </c>
      <c r="F316" s="2" t="str">
        <f>MID(Tabulka1[[#This Row],[Adresa]],1,SEARCH(",",Tabulka1[[#This Row],[Adresa]])-1)</f>
        <v>Školní 1944</v>
      </c>
      <c r="G316" s="2" t="str">
        <f>RIGHT(Tabulka1[[#This Row],[Adresa]],LEN(Tabulka1[[#This Row],[Adresa]])-LEN(Tabulka1[[#This Row],[Ulice]])-1)</f>
        <v>Malšice</v>
      </c>
      <c r="H316" s="2" t="str">
        <f>_xlfn.CONCAT(LOWER(Tabulka1[[#This Row],[příjmení bez mezer]]),".",LOWER(Tabulka1[[#This Row],[Jmeno bez mezer]]),"@firmaabc.cz")</f>
        <v>charvat.jiri@firmaabc.cz</v>
      </c>
      <c r="I316" s="2" t="str">
        <f>_xlfn.CONCAT(LOWER(LEFT(Tabulka1[[#This Row],[příjmení bez mezer]],3)),UPPER(RIGHT(Tabulka1[[#This Row],[Jmeno bez mezer]],2)))</f>
        <v>chaRI</v>
      </c>
      <c r="J316" s="2" t="s">
        <v>1435</v>
      </c>
      <c r="K316" s="2" t="s">
        <v>1873</v>
      </c>
      <c r="L316" s="3" t="s">
        <v>2324</v>
      </c>
    </row>
    <row r="317" spans="1:12" ht="30" x14ac:dyDescent="0.25">
      <c r="A317" s="2" t="s">
        <v>730</v>
      </c>
      <c r="B317" t="s">
        <v>42</v>
      </c>
      <c r="C317" t="s">
        <v>731</v>
      </c>
      <c r="D317" t="str">
        <f>TRIM(Tabulka1[[#This Row],[Jméno]])</f>
        <v>Marie</v>
      </c>
      <c r="E317" t="str">
        <f>TRIM(Tabulka1[[#This Row],[Příjmení]])</f>
        <v>Hejna</v>
      </c>
      <c r="F317" s="2" t="str">
        <f>MID(Tabulka1[[#This Row],[Adresa]],1,SEARCH(",",Tabulka1[[#This Row],[Adresa]])-1)</f>
        <v>Stožická 1512</v>
      </c>
      <c r="G317" s="2" t="str">
        <f>RIGHT(Tabulka1[[#This Row],[Adresa]],LEN(Tabulka1[[#This Row],[Adresa]])-LEN(Tabulka1[[#This Row],[Ulice]])-1)</f>
        <v>Vodnany</v>
      </c>
      <c r="H317" s="2" t="str">
        <f>_xlfn.CONCAT(LOWER(Tabulka1[[#This Row],[příjmení bez mezer]]),".",LOWER(Tabulka1[[#This Row],[Jmeno bez mezer]]),"@firmaabc.cz")</f>
        <v>hejna.marie@firmaabc.cz</v>
      </c>
      <c r="I317" s="2" t="str">
        <f>_xlfn.CONCAT(LOWER(LEFT(Tabulka1[[#This Row],[příjmení bez mezer]],3)),UPPER(RIGHT(Tabulka1[[#This Row],[Jmeno bez mezer]],2)))</f>
        <v>hejIE</v>
      </c>
      <c r="J317" s="2" t="s">
        <v>1436</v>
      </c>
      <c r="K317" s="2" t="s">
        <v>1624</v>
      </c>
      <c r="L317" s="3" t="s">
        <v>2325</v>
      </c>
    </row>
    <row r="318" spans="1:12" ht="30" x14ac:dyDescent="0.25">
      <c r="A318" s="2" t="s">
        <v>732</v>
      </c>
      <c r="B318" t="s">
        <v>82</v>
      </c>
      <c r="C318" t="s">
        <v>733</v>
      </c>
      <c r="D318" t="str">
        <f>TRIM(Tabulka1[[#This Row],[Jméno]])</f>
        <v>Katerina</v>
      </c>
      <c r="E318" t="str">
        <f>TRIM(Tabulka1[[#This Row],[Příjmení]])</f>
        <v>Zelena</v>
      </c>
      <c r="F318" s="2" t="str">
        <f>MID(Tabulka1[[#This Row],[Adresa]],1,SEARCH(",",Tabulka1[[#This Row],[Adresa]])-1)</f>
        <v>Dělnická 1372</v>
      </c>
      <c r="G318" s="2" t="str">
        <f>RIGHT(Tabulka1[[#This Row],[Adresa]],LEN(Tabulka1[[#This Row],[Adresa]])-LEN(Tabulka1[[#This Row],[Ulice]])-1)</f>
        <v>Hranice 4</v>
      </c>
      <c r="H318" s="2" t="str">
        <f>_xlfn.CONCAT(LOWER(Tabulka1[[#This Row],[příjmení bez mezer]]),".",LOWER(Tabulka1[[#This Row],[Jmeno bez mezer]]),"@firmaabc.cz")</f>
        <v>zelena.katerina@firmaabc.cz</v>
      </c>
      <c r="I318" s="2" t="str">
        <f>_xlfn.CONCAT(LOWER(LEFT(Tabulka1[[#This Row],[příjmení bez mezer]],3)),UPPER(RIGHT(Tabulka1[[#This Row],[Jmeno bez mezer]],2)))</f>
        <v>zelNA</v>
      </c>
      <c r="J318" s="2" t="s">
        <v>1437</v>
      </c>
      <c r="K318" s="2" t="s">
        <v>1874</v>
      </c>
      <c r="L318" s="3" t="s">
        <v>2326</v>
      </c>
    </row>
    <row r="319" spans="1:12" ht="30" x14ac:dyDescent="0.25">
      <c r="A319" s="2" t="s">
        <v>734</v>
      </c>
      <c r="B319" t="s">
        <v>253</v>
      </c>
      <c r="C319" t="s">
        <v>735</v>
      </c>
      <c r="D319" t="str">
        <f>TRIM(Tabulka1[[#This Row],[Jméno]])</f>
        <v>Eva</v>
      </c>
      <c r="E319" t="str">
        <f>TRIM(Tabulka1[[#This Row],[Příjmení]])</f>
        <v>Eliasova</v>
      </c>
      <c r="F319" s="2" t="str">
        <f>MID(Tabulka1[[#This Row],[Adresa]],1,SEARCH(",",Tabulka1[[#This Row],[Adresa]])-1)</f>
        <v>Štefanikova 1429</v>
      </c>
      <c r="G319" s="2" t="str">
        <f>RIGHT(Tabulka1[[#This Row],[Adresa]],LEN(Tabulka1[[#This Row],[Adresa]])-LEN(Tabulka1[[#This Row],[Ulice]])-1)</f>
        <v>Boskovice</v>
      </c>
      <c r="H319" s="2" t="str">
        <f>_xlfn.CONCAT(LOWER(Tabulka1[[#This Row],[příjmení bez mezer]]),".",LOWER(Tabulka1[[#This Row],[Jmeno bez mezer]]),"@firmaabc.cz")</f>
        <v>eliasova.eva@firmaabc.cz</v>
      </c>
      <c r="I319" s="2" t="str">
        <f>_xlfn.CONCAT(LOWER(LEFT(Tabulka1[[#This Row],[příjmení bez mezer]],3)),UPPER(RIGHT(Tabulka1[[#This Row],[Jmeno bez mezer]],2)))</f>
        <v>eliVA</v>
      </c>
      <c r="J319" s="2" t="s">
        <v>1438</v>
      </c>
      <c r="K319" s="2" t="s">
        <v>1875</v>
      </c>
      <c r="L319" s="3" t="s">
        <v>2327</v>
      </c>
    </row>
    <row r="320" spans="1:12" ht="30" x14ac:dyDescent="0.25">
      <c r="A320" s="2" t="s">
        <v>736</v>
      </c>
      <c r="B320" t="s">
        <v>675</v>
      </c>
      <c r="C320" t="s">
        <v>184</v>
      </c>
      <c r="D320" t="str">
        <f>TRIM(Tabulka1[[#This Row],[Jméno]])</f>
        <v>Radka</v>
      </c>
      <c r="E320" t="str">
        <f>TRIM(Tabulka1[[#This Row],[Příjmení]])</f>
        <v>Prusova</v>
      </c>
      <c r="F320" s="2" t="str">
        <f>MID(Tabulka1[[#This Row],[Adresa]],1,SEARCH(",",Tabulka1[[#This Row],[Adresa]])-1)</f>
        <v>Václava Haňky 574</v>
      </c>
      <c r="G320" s="2" t="str">
        <f>RIGHT(Tabulka1[[#This Row],[Adresa]],LEN(Tabulka1[[#This Row],[Adresa]])-LEN(Tabulka1[[#This Row],[Ulice]])-1)</f>
        <v>Dolní Kounice</v>
      </c>
      <c r="H320" s="2" t="str">
        <f>_xlfn.CONCAT(LOWER(Tabulka1[[#This Row],[příjmení bez mezer]]),".",LOWER(Tabulka1[[#This Row],[Jmeno bez mezer]]),"@firmaabc.cz")</f>
        <v>prusova.radka@firmaabc.cz</v>
      </c>
      <c r="I320" s="2" t="str">
        <f>_xlfn.CONCAT(LOWER(LEFT(Tabulka1[[#This Row],[příjmení bez mezer]],3)),UPPER(RIGHT(Tabulka1[[#This Row],[Jmeno bez mezer]],2)))</f>
        <v>pruKA</v>
      </c>
      <c r="J320" s="2" t="s">
        <v>1439</v>
      </c>
      <c r="K320" s="2" t="s">
        <v>1876</v>
      </c>
      <c r="L320" s="3" t="s">
        <v>2328</v>
      </c>
    </row>
    <row r="321" spans="1:12" ht="45" x14ac:dyDescent="0.25">
      <c r="A321" s="2" t="s">
        <v>737</v>
      </c>
      <c r="B321" t="s">
        <v>205</v>
      </c>
      <c r="C321" t="s">
        <v>738</v>
      </c>
      <c r="D321" t="str">
        <f>TRIM(Tabulka1[[#This Row],[Jméno]])</f>
        <v>Rudolf</v>
      </c>
      <c r="E321" t="str">
        <f>TRIM(Tabulka1[[#This Row],[Příjmení]])</f>
        <v>Uhlir</v>
      </c>
      <c r="F321" s="2" t="str">
        <f>MID(Tabulka1[[#This Row],[Adresa]],1,SEARCH(",",Tabulka1[[#This Row],[Adresa]])-1)</f>
        <v>Žerotínova 132</v>
      </c>
      <c r="G321" s="2" t="str">
        <f>RIGHT(Tabulka1[[#This Row],[Adresa]],LEN(Tabulka1[[#This Row],[Adresa]])-LEN(Tabulka1[[#This Row],[Ulice]])-1)</f>
        <v>Horice v Podkrkonoší</v>
      </c>
      <c r="H321" s="2" t="str">
        <f>_xlfn.CONCAT(LOWER(Tabulka1[[#This Row],[příjmení bez mezer]]),".",LOWER(Tabulka1[[#This Row],[Jmeno bez mezer]]),"@firmaabc.cz")</f>
        <v>uhlir.rudolf@firmaabc.cz</v>
      </c>
      <c r="I321" s="2" t="str">
        <f>_xlfn.CONCAT(LOWER(LEFT(Tabulka1[[#This Row],[příjmení bez mezer]],3)),UPPER(RIGHT(Tabulka1[[#This Row],[Jmeno bez mezer]],2)))</f>
        <v>uhlLF</v>
      </c>
      <c r="J321" s="2" t="s">
        <v>1440</v>
      </c>
      <c r="K321" s="2" t="s">
        <v>1877</v>
      </c>
      <c r="L321" s="3" t="s">
        <v>2329</v>
      </c>
    </row>
    <row r="322" spans="1:12" ht="45" x14ac:dyDescent="0.25">
      <c r="A322" s="2" t="s">
        <v>739</v>
      </c>
      <c r="B322" t="s">
        <v>287</v>
      </c>
      <c r="C322" t="s">
        <v>740</v>
      </c>
      <c r="D322" t="str">
        <f>TRIM(Tabulka1[[#This Row],[Jméno]])</f>
        <v>Petr</v>
      </c>
      <c r="E322" t="str">
        <f>TRIM(Tabulka1[[#This Row],[Příjmení]])</f>
        <v>Zavadil</v>
      </c>
      <c r="F322" s="2" t="str">
        <f>MID(Tabulka1[[#This Row],[Adresa]],1,SEARCH(",",Tabulka1[[#This Row],[Adresa]])-1)</f>
        <v>Jana Šťastného 1425</v>
      </c>
      <c r="G322" s="2" t="str">
        <f>RIGHT(Tabulka1[[#This Row],[Adresa]],LEN(Tabulka1[[#This Row],[Adresa]])-LEN(Tabulka1[[#This Row],[Ulice]])-1)</f>
        <v>Pyšely</v>
      </c>
      <c r="H322" s="2" t="str">
        <f>_xlfn.CONCAT(LOWER(Tabulka1[[#This Row],[příjmení bez mezer]]),".",LOWER(Tabulka1[[#This Row],[Jmeno bez mezer]]),"@firmaabc.cz")</f>
        <v>zavadil.petr@firmaabc.cz</v>
      </c>
      <c r="I322" s="2" t="str">
        <f>_xlfn.CONCAT(LOWER(LEFT(Tabulka1[[#This Row],[příjmení bez mezer]],3)),UPPER(RIGHT(Tabulka1[[#This Row],[Jmeno bez mezer]],2)))</f>
        <v>zavTR</v>
      </c>
      <c r="J322" s="2" t="s">
        <v>1441</v>
      </c>
      <c r="K322" s="2" t="s">
        <v>1878</v>
      </c>
      <c r="L322" s="3" t="s">
        <v>2330</v>
      </c>
    </row>
    <row r="323" spans="1:12" ht="30" x14ac:dyDescent="0.25">
      <c r="A323" s="2" t="s">
        <v>741</v>
      </c>
      <c r="B323" t="s">
        <v>324</v>
      </c>
      <c r="C323" t="s">
        <v>742</v>
      </c>
      <c r="D323" t="str">
        <f>TRIM(Tabulka1[[#This Row],[Jméno]])</f>
        <v>Milan</v>
      </c>
      <c r="E323" t="str">
        <f>TRIM(Tabulka1[[#This Row],[Příjmení]])</f>
        <v>Pajer</v>
      </c>
      <c r="F323" s="2" t="str">
        <f>MID(Tabulka1[[#This Row],[Adresa]],1,SEARCH(",",Tabulka1[[#This Row],[Adresa]])-1)</f>
        <v>U Křížku 1007</v>
      </c>
      <c r="G323" s="2" t="str">
        <f>RIGHT(Tabulka1[[#This Row],[Adresa]],LEN(Tabulka1[[#This Row],[Adresa]])-LEN(Tabulka1[[#This Row],[Ulice]])-1)</f>
        <v>Všelibice</v>
      </c>
      <c r="H323" s="2" t="str">
        <f>_xlfn.CONCAT(LOWER(Tabulka1[[#This Row],[příjmení bez mezer]]),".",LOWER(Tabulka1[[#This Row],[Jmeno bez mezer]]),"@firmaabc.cz")</f>
        <v>pajer.milan@firmaabc.cz</v>
      </c>
      <c r="I323" s="2" t="str">
        <f>_xlfn.CONCAT(LOWER(LEFT(Tabulka1[[#This Row],[příjmení bez mezer]],3)),UPPER(RIGHT(Tabulka1[[#This Row],[Jmeno bez mezer]],2)))</f>
        <v>pajAN</v>
      </c>
      <c r="J323" s="2" t="s">
        <v>1442</v>
      </c>
      <c r="K323" s="2" t="s">
        <v>1879</v>
      </c>
      <c r="L323" s="3" t="s">
        <v>2331</v>
      </c>
    </row>
    <row r="324" spans="1:12" ht="60" x14ac:dyDescent="0.25">
      <c r="A324" s="2" t="s">
        <v>743</v>
      </c>
      <c r="B324" t="s">
        <v>744</v>
      </c>
      <c r="C324" t="s">
        <v>745</v>
      </c>
      <c r="D324" t="str">
        <f>TRIM(Tabulka1[[#This Row],[Jméno]])</f>
        <v>Vlastimila</v>
      </c>
      <c r="E324" t="str">
        <f>TRIM(Tabulka1[[#This Row],[Příjmení]])</f>
        <v>Karafiatova</v>
      </c>
      <c r="F324" s="2" t="str">
        <f>MID(Tabulka1[[#This Row],[Adresa]],1,SEARCH(",",Tabulka1[[#This Row],[Adresa]])-1)</f>
        <v>Kovářská 1657</v>
      </c>
      <c r="G324" s="2" t="str">
        <f>RIGHT(Tabulka1[[#This Row],[Adresa]],LEN(Tabulka1[[#This Row],[Adresa]])-LEN(Tabulka1[[#This Row],[Ulice]])-1)</f>
        <v>Chlumec u Ústí nad Labem</v>
      </c>
      <c r="H324" s="2" t="str">
        <f>_xlfn.CONCAT(LOWER(Tabulka1[[#This Row],[příjmení bez mezer]]),".",LOWER(Tabulka1[[#This Row],[Jmeno bez mezer]]),"@firmaabc.cz")</f>
        <v>karafiatova.vlastimila@firmaabc.cz</v>
      </c>
      <c r="I324" s="2" t="str">
        <f>_xlfn.CONCAT(LOWER(LEFT(Tabulka1[[#This Row],[příjmení bez mezer]],3)),UPPER(RIGHT(Tabulka1[[#This Row],[Jmeno bez mezer]],2)))</f>
        <v>karLA</v>
      </c>
      <c r="J324" s="2" t="s">
        <v>1443</v>
      </c>
      <c r="K324" s="2" t="s">
        <v>1880</v>
      </c>
      <c r="L324" s="3" t="s">
        <v>2332</v>
      </c>
    </row>
    <row r="325" spans="1:12" ht="30" x14ac:dyDescent="0.25">
      <c r="A325" s="2" t="s">
        <v>746</v>
      </c>
      <c r="B325" t="s">
        <v>445</v>
      </c>
      <c r="C325" t="s">
        <v>747</v>
      </c>
      <c r="D325" t="str">
        <f>TRIM(Tabulka1[[#This Row],[Jméno]])</f>
        <v>Vlastimil</v>
      </c>
      <c r="E325" t="str">
        <f>TRIM(Tabulka1[[#This Row],[Příjmení]])</f>
        <v>Domansky</v>
      </c>
      <c r="F325" s="2" t="str">
        <f>MID(Tabulka1[[#This Row],[Adresa]],1,SEARCH(",",Tabulka1[[#This Row],[Adresa]])-1)</f>
        <v>Bavorovská 1520</v>
      </c>
      <c r="G325" s="2" t="str">
        <f>RIGHT(Tabulka1[[#This Row],[Adresa]],LEN(Tabulka1[[#This Row],[Adresa]])-LEN(Tabulka1[[#This Row],[Ulice]])-1)</f>
        <v>Vlachovo Brezí</v>
      </c>
      <c r="H325" s="2" t="str">
        <f>_xlfn.CONCAT(LOWER(Tabulka1[[#This Row],[příjmení bez mezer]]),".",LOWER(Tabulka1[[#This Row],[Jmeno bez mezer]]),"@firmaabc.cz")</f>
        <v>domansky.vlastimil@firmaabc.cz</v>
      </c>
      <c r="I325" s="2" t="str">
        <f>_xlfn.CONCAT(LOWER(LEFT(Tabulka1[[#This Row],[příjmení bez mezer]],3)),UPPER(RIGHT(Tabulka1[[#This Row],[Jmeno bez mezer]],2)))</f>
        <v>domIL</v>
      </c>
      <c r="J325" s="2" t="s">
        <v>1444</v>
      </c>
      <c r="K325" s="2" t="s">
        <v>1706</v>
      </c>
      <c r="L325" s="3" t="s">
        <v>2333</v>
      </c>
    </row>
    <row r="326" spans="1:12" ht="30" x14ac:dyDescent="0.25">
      <c r="A326" s="2" t="s">
        <v>748</v>
      </c>
      <c r="B326" t="s">
        <v>303</v>
      </c>
      <c r="C326" t="s">
        <v>749</v>
      </c>
      <c r="D326" t="str">
        <f>TRIM(Tabulka1[[#This Row],[Jméno]])</f>
        <v>Lenka</v>
      </c>
      <c r="E326" t="str">
        <f>TRIM(Tabulka1[[#This Row],[Příjmení]])</f>
        <v>Uchytilova</v>
      </c>
      <c r="F326" s="2" t="str">
        <f>MID(Tabulka1[[#This Row],[Adresa]],1,SEARCH(",",Tabulka1[[#This Row],[Adresa]])-1)</f>
        <v>Hálkova 1976</v>
      </c>
      <c r="G326" s="2" t="str">
        <f>RIGHT(Tabulka1[[#This Row],[Adresa]],LEN(Tabulka1[[#This Row],[Adresa]])-LEN(Tabulka1[[#This Row],[Ulice]])-1)</f>
        <v>Ceská Lípa 2</v>
      </c>
      <c r="H326" s="2" t="str">
        <f>_xlfn.CONCAT(LOWER(Tabulka1[[#This Row],[příjmení bez mezer]]),".",LOWER(Tabulka1[[#This Row],[Jmeno bez mezer]]),"@firmaabc.cz")</f>
        <v>uchytilova.lenka@firmaabc.cz</v>
      </c>
      <c r="I326" s="2" t="str">
        <f>_xlfn.CONCAT(LOWER(LEFT(Tabulka1[[#This Row],[příjmení bez mezer]],3)),UPPER(RIGHT(Tabulka1[[#This Row],[Jmeno bez mezer]],2)))</f>
        <v>uchKA</v>
      </c>
      <c r="J326" s="2" t="s">
        <v>1445</v>
      </c>
      <c r="K326" s="2" t="s">
        <v>1711</v>
      </c>
      <c r="L326" s="3" t="s">
        <v>2334</v>
      </c>
    </row>
    <row r="327" spans="1:12" ht="45" x14ac:dyDescent="0.25">
      <c r="A327" s="2" t="s">
        <v>750</v>
      </c>
      <c r="B327" t="s">
        <v>751</v>
      </c>
      <c r="C327" t="s">
        <v>752</v>
      </c>
      <c r="D327" t="str">
        <f>TRIM(Tabulka1[[#This Row],[Jméno]])</f>
        <v>Jolana</v>
      </c>
      <c r="E327" t="str">
        <f>TRIM(Tabulka1[[#This Row],[Příjmení]])</f>
        <v>Vladykova</v>
      </c>
      <c r="F327" s="2" t="str">
        <f>MID(Tabulka1[[#This Row],[Adresa]],1,SEARCH(",",Tabulka1[[#This Row],[Adresa]])-1)</f>
        <v>Prokopská 807</v>
      </c>
      <c r="G327" s="2" t="str">
        <f>RIGHT(Tabulka1[[#This Row],[Adresa]],LEN(Tabulka1[[#This Row],[Adresa]])-LEN(Tabulka1[[#This Row],[Ulice]])-1)</f>
        <v>Stará Hut u Dobríše</v>
      </c>
      <c r="H327" s="2" t="str">
        <f>_xlfn.CONCAT(LOWER(Tabulka1[[#This Row],[příjmení bez mezer]]),".",LOWER(Tabulka1[[#This Row],[Jmeno bez mezer]]),"@firmaabc.cz")</f>
        <v>vladykova.jolana@firmaabc.cz</v>
      </c>
      <c r="I327" s="2" t="str">
        <f>_xlfn.CONCAT(LOWER(LEFT(Tabulka1[[#This Row],[příjmení bez mezer]],3)),UPPER(RIGHT(Tabulka1[[#This Row],[Jmeno bez mezer]],2)))</f>
        <v>vlaNA</v>
      </c>
      <c r="J327" s="2" t="s">
        <v>1446</v>
      </c>
      <c r="K327" s="2" t="s">
        <v>1881</v>
      </c>
      <c r="L327" s="3" t="s">
        <v>2335</v>
      </c>
    </row>
    <row r="328" spans="1:12" ht="45" x14ac:dyDescent="0.25">
      <c r="A328" s="2" t="s">
        <v>753</v>
      </c>
      <c r="B328" t="s">
        <v>716</v>
      </c>
      <c r="C328" t="s">
        <v>754</v>
      </c>
      <c r="D328" t="str">
        <f>TRIM(Tabulka1[[#This Row],[Jméno]])</f>
        <v>Renata</v>
      </c>
      <c r="E328" t="str">
        <f>TRIM(Tabulka1[[#This Row],[Příjmení]])</f>
        <v>Lahodova</v>
      </c>
      <c r="F328" s="2" t="str">
        <f>MID(Tabulka1[[#This Row],[Adresa]],1,SEARCH(",",Tabulka1[[#This Row],[Adresa]])-1)</f>
        <v>Československé legií 1319</v>
      </c>
      <c r="G328" s="2" t="str">
        <f>RIGHT(Tabulka1[[#This Row],[Adresa]],LEN(Tabulka1[[#This Row],[Adresa]])-LEN(Tabulka1[[#This Row],[Ulice]])-1)</f>
        <v>Lipník nad Becvou</v>
      </c>
      <c r="H328" s="2" t="str">
        <f>_xlfn.CONCAT(LOWER(Tabulka1[[#This Row],[příjmení bez mezer]]),".",LOWER(Tabulka1[[#This Row],[Jmeno bez mezer]]),"@firmaabc.cz")</f>
        <v>lahodova.renata@firmaabc.cz</v>
      </c>
      <c r="I328" s="2" t="str">
        <f>_xlfn.CONCAT(LOWER(LEFT(Tabulka1[[#This Row],[příjmení bez mezer]],3)),UPPER(RIGHT(Tabulka1[[#This Row],[Jmeno bez mezer]],2)))</f>
        <v>lahTA</v>
      </c>
      <c r="J328" s="2" t="s">
        <v>1447</v>
      </c>
      <c r="K328" s="2" t="s">
        <v>1882</v>
      </c>
      <c r="L328" s="3" t="s">
        <v>2336</v>
      </c>
    </row>
    <row r="329" spans="1:12" ht="45" x14ac:dyDescent="0.25">
      <c r="A329" s="2" t="s">
        <v>755</v>
      </c>
      <c r="B329" t="s">
        <v>341</v>
      </c>
      <c r="C329" t="s">
        <v>756</v>
      </c>
      <c r="D329" t="str">
        <f>TRIM(Tabulka1[[#This Row],[Jméno]])</f>
        <v>Pavlina</v>
      </c>
      <c r="E329" t="str">
        <f>TRIM(Tabulka1[[#This Row],[Příjmení]])</f>
        <v>Flidrova</v>
      </c>
      <c r="F329" s="2" t="str">
        <f>MID(Tabulka1[[#This Row],[Adresa]],1,SEARCH(",",Tabulka1[[#This Row],[Adresa]])-1)</f>
        <v>Družstevní práce 464</v>
      </c>
      <c r="G329" s="2" t="str">
        <f>RIGHT(Tabulka1[[#This Row],[Adresa]],LEN(Tabulka1[[#This Row],[Adresa]])-LEN(Tabulka1[[#This Row],[Ulice]])-1)</f>
        <v>Chlumec nad Cidlinou</v>
      </c>
      <c r="H329" s="2" t="str">
        <f>_xlfn.CONCAT(LOWER(Tabulka1[[#This Row],[příjmení bez mezer]]),".",LOWER(Tabulka1[[#This Row],[Jmeno bez mezer]]),"@firmaabc.cz")</f>
        <v>flidrova.pavlina@firmaabc.cz</v>
      </c>
      <c r="I329" s="2" t="str">
        <f>_xlfn.CONCAT(LOWER(LEFT(Tabulka1[[#This Row],[příjmení bez mezer]],3)),UPPER(RIGHT(Tabulka1[[#This Row],[Jmeno bez mezer]],2)))</f>
        <v>fliNA</v>
      </c>
      <c r="J329" s="2" t="s">
        <v>1448</v>
      </c>
      <c r="K329" s="2" t="s">
        <v>1883</v>
      </c>
      <c r="L329" s="3" t="s">
        <v>2337</v>
      </c>
    </row>
    <row r="330" spans="1:12" ht="45" x14ac:dyDescent="0.25">
      <c r="A330" s="2" t="s">
        <v>757</v>
      </c>
      <c r="B330" t="s">
        <v>189</v>
      </c>
      <c r="C330" t="s">
        <v>758</v>
      </c>
      <c r="D330" t="str">
        <f>TRIM(Tabulka1[[#This Row],[Jméno]])</f>
        <v>Jana</v>
      </c>
      <c r="E330" t="str">
        <f>TRIM(Tabulka1[[#This Row],[Příjmení]])</f>
        <v>Havrdova</v>
      </c>
      <c r="F330" s="2" t="str">
        <f>MID(Tabulka1[[#This Row],[Adresa]],1,SEARCH(",",Tabulka1[[#This Row],[Adresa]])-1)</f>
        <v>U divadla 1341</v>
      </c>
      <c r="G330" s="2" t="str">
        <f>RIGHT(Tabulka1[[#This Row],[Adresa]],LEN(Tabulka1[[#This Row],[Adresa]])-LEN(Tabulka1[[#This Row],[Ulice]])-1)</f>
        <v>Straškov-Vodochody</v>
      </c>
      <c r="H330" s="2" t="str">
        <f>_xlfn.CONCAT(LOWER(Tabulka1[[#This Row],[příjmení bez mezer]]),".",LOWER(Tabulka1[[#This Row],[Jmeno bez mezer]]),"@firmaabc.cz")</f>
        <v>havrdova.jana@firmaabc.cz</v>
      </c>
      <c r="I330" s="2" t="str">
        <f>_xlfn.CONCAT(LOWER(LEFT(Tabulka1[[#This Row],[příjmení bez mezer]],3)),UPPER(RIGHT(Tabulka1[[#This Row],[Jmeno bez mezer]],2)))</f>
        <v>havNA</v>
      </c>
      <c r="J330" s="2" t="s">
        <v>1449</v>
      </c>
      <c r="K330" s="2" t="s">
        <v>1884</v>
      </c>
      <c r="L330" s="3" t="s">
        <v>2338</v>
      </c>
    </row>
    <row r="331" spans="1:12" ht="30" x14ac:dyDescent="0.25">
      <c r="A331" s="2" t="s">
        <v>759</v>
      </c>
      <c r="B331" t="s">
        <v>42</v>
      </c>
      <c r="C331" t="s">
        <v>760</v>
      </c>
      <c r="D331" t="str">
        <f>TRIM(Tabulka1[[#This Row],[Jméno]])</f>
        <v>Marie</v>
      </c>
      <c r="E331" t="str">
        <f>TRIM(Tabulka1[[#This Row],[Příjmení]])</f>
        <v>Vesela</v>
      </c>
      <c r="F331" s="2" t="str">
        <f>MID(Tabulka1[[#This Row],[Adresa]],1,SEARCH(",",Tabulka1[[#This Row],[Adresa]])-1)</f>
        <v>Hálkova 1665</v>
      </c>
      <c r="G331" s="2" t="str">
        <f>RIGHT(Tabulka1[[#This Row],[Adresa]],LEN(Tabulka1[[#This Row],[Adresa]])-LEN(Tabulka1[[#This Row],[Ulice]])-1)</f>
        <v>Mimon</v>
      </c>
      <c r="H331" s="2" t="str">
        <f>_xlfn.CONCAT(LOWER(Tabulka1[[#This Row],[příjmení bez mezer]]),".",LOWER(Tabulka1[[#This Row],[Jmeno bez mezer]]),"@firmaabc.cz")</f>
        <v>vesela.marie@firmaabc.cz</v>
      </c>
      <c r="I331" s="2" t="str">
        <f>_xlfn.CONCAT(LOWER(LEFT(Tabulka1[[#This Row],[příjmení bez mezer]],3)),UPPER(RIGHT(Tabulka1[[#This Row],[Jmeno bez mezer]],2)))</f>
        <v>vesIE</v>
      </c>
      <c r="J331" s="2" t="s">
        <v>1450</v>
      </c>
      <c r="K331" s="2" t="s">
        <v>1885</v>
      </c>
      <c r="L331" s="3" t="s">
        <v>2339</v>
      </c>
    </row>
    <row r="332" spans="1:12" ht="30" x14ac:dyDescent="0.25">
      <c r="A332" s="2" t="s">
        <v>761</v>
      </c>
      <c r="B332" t="s">
        <v>762</v>
      </c>
      <c r="C332" t="s">
        <v>763</v>
      </c>
      <c r="D332" t="str">
        <f>TRIM(Tabulka1[[#This Row],[Jméno]])</f>
        <v>Viktoriya</v>
      </c>
      <c r="E332" t="str">
        <f>TRIM(Tabulka1[[#This Row],[Příjmení]])</f>
        <v>Matejkova</v>
      </c>
      <c r="F332" s="2" t="str">
        <f>MID(Tabulka1[[#This Row],[Adresa]],1,SEARCH(",",Tabulka1[[#This Row],[Adresa]])-1)</f>
        <v>Dobrovského 1682</v>
      </c>
      <c r="G332" s="2" t="str">
        <f>RIGHT(Tabulka1[[#This Row],[Adresa]],LEN(Tabulka1[[#This Row],[Adresa]])-LEN(Tabulka1[[#This Row],[Ulice]])-1)</f>
        <v>Jirice u Miroslavi</v>
      </c>
      <c r="H332" s="2" t="str">
        <f>_xlfn.CONCAT(LOWER(Tabulka1[[#This Row],[příjmení bez mezer]]),".",LOWER(Tabulka1[[#This Row],[Jmeno bez mezer]]),"@firmaabc.cz")</f>
        <v>matejkova.viktoriya@firmaabc.cz</v>
      </c>
      <c r="I332" s="2" t="str">
        <f>_xlfn.CONCAT(LOWER(LEFT(Tabulka1[[#This Row],[příjmení bez mezer]],3)),UPPER(RIGHT(Tabulka1[[#This Row],[Jmeno bez mezer]],2)))</f>
        <v>matYA</v>
      </c>
      <c r="J332" s="2" t="s">
        <v>1451</v>
      </c>
      <c r="K332" s="2" t="s">
        <v>1886</v>
      </c>
      <c r="L332" s="3" t="s">
        <v>2340</v>
      </c>
    </row>
    <row r="333" spans="1:12" ht="30" x14ac:dyDescent="0.25">
      <c r="A333" s="2" t="s">
        <v>764</v>
      </c>
      <c r="B333" t="s">
        <v>101</v>
      </c>
      <c r="C333" t="s">
        <v>765</v>
      </c>
      <c r="D333" t="str">
        <f>TRIM(Tabulka1[[#This Row],[Jméno]])</f>
        <v>Frantisek</v>
      </c>
      <c r="E333" t="str">
        <f>TRIM(Tabulka1[[#This Row],[Příjmení]])</f>
        <v>Necas</v>
      </c>
      <c r="F333" s="2" t="str">
        <f>MID(Tabulka1[[#This Row],[Adresa]],1,SEARCH(",",Tabulka1[[#This Row],[Adresa]])-1)</f>
        <v>K Lukárně 567</v>
      </c>
      <c r="G333" s="2" t="str">
        <f>RIGHT(Tabulka1[[#This Row],[Adresa]],LEN(Tabulka1[[#This Row],[Adresa]])-LEN(Tabulka1[[#This Row],[Ulice]])-1)</f>
        <v>Horovice</v>
      </c>
      <c r="H333" s="2" t="str">
        <f>_xlfn.CONCAT(LOWER(Tabulka1[[#This Row],[příjmení bez mezer]]),".",LOWER(Tabulka1[[#This Row],[Jmeno bez mezer]]),"@firmaabc.cz")</f>
        <v>necas.frantisek@firmaabc.cz</v>
      </c>
      <c r="I333" s="2" t="str">
        <f>_xlfn.CONCAT(LOWER(LEFT(Tabulka1[[#This Row],[příjmení bez mezer]],3)),UPPER(RIGHT(Tabulka1[[#This Row],[Jmeno bez mezer]],2)))</f>
        <v>necEK</v>
      </c>
      <c r="J333" s="2" t="s">
        <v>1452</v>
      </c>
      <c r="K333" s="2" t="s">
        <v>1887</v>
      </c>
      <c r="L333" s="3" t="s">
        <v>2341</v>
      </c>
    </row>
    <row r="334" spans="1:12" ht="45" x14ac:dyDescent="0.25">
      <c r="A334" s="2" t="s">
        <v>766</v>
      </c>
      <c r="B334" t="s">
        <v>73</v>
      </c>
      <c r="C334" t="s">
        <v>287</v>
      </c>
      <c r="D334" t="str">
        <f>TRIM(Tabulka1[[#This Row],[Jméno]])</f>
        <v>Daniel</v>
      </c>
      <c r="E334" t="str">
        <f>TRIM(Tabulka1[[#This Row],[Příjmení]])</f>
        <v>Petr</v>
      </c>
      <c r="F334" s="2" t="str">
        <f>MID(Tabulka1[[#This Row],[Adresa]],1,SEARCH(",",Tabulka1[[#This Row],[Adresa]])-1)</f>
        <v>Pod Floriánem 734</v>
      </c>
      <c r="G334" s="2" t="str">
        <f>RIGHT(Tabulka1[[#This Row],[Adresa]],LEN(Tabulka1[[#This Row],[Adresa]])-LEN(Tabulka1[[#This Row],[Ulice]])-1)</f>
        <v>Pelhrimov</v>
      </c>
      <c r="H334" s="2" t="str">
        <f>_xlfn.CONCAT(LOWER(Tabulka1[[#This Row],[příjmení bez mezer]]),".",LOWER(Tabulka1[[#This Row],[Jmeno bez mezer]]),"@firmaabc.cz")</f>
        <v>petr.daniel@firmaabc.cz</v>
      </c>
      <c r="I334" s="2" t="str">
        <f>_xlfn.CONCAT(LOWER(LEFT(Tabulka1[[#This Row],[příjmení bez mezer]],3)),UPPER(RIGHT(Tabulka1[[#This Row],[Jmeno bez mezer]],2)))</f>
        <v>petEL</v>
      </c>
      <c r="J334" s="2" t="s">
        <v>1453</v>
      </c>
      <c r="K334" s="2" t="s">
        <v>1832</v>
      </c>
      <c r="L334" s="3" t="s">
        <v>2342</v>
      </c>
    </row>
    <row r="335" spans="1:12" ht="30" x14ac:dyDescent="0.25">
      <c r="A335" s="2" t="s">
        <v>767</v>
      </c>
      <c r="B335" t="s">
        <v>697</v>
      </c>
      <c r="C335" t="s">
        <v>768</v>
      </c>
      <c r="D335" t="str">
        <f>TRIM(Tabulka1[[#This Row],[Jméno]])</f>
        <v>Marcela</v>
      </c>
      <c r="E335" t="str">
        <f>TRIM(Tabulka1[[#This Row],[Příjmení]])</f>
        <v>Souckova</v>
      </c>
      <c r="F335" s="2" t="str">
        <f>MID(Tabulka1[[#This Row],[Adresa]],1,SEARCH(",",Tabulka1[[#This Row],[Adresa]])-1)</f>
        <v>Jiráskova 442</v>
      </c>
      <c r="G335" s="2" t="str">
        <f>RIGHT(Tabulka1[[#This Row],[Adresa]],LEN(Tabulka1[[#This Row],[Adresa]])-LEN(Tabulka1[[#This Row],[Ulice]])-1)</f>
        <v>Kopidlno</v>
      </c>
      <c r="H335" s="2" t="str">
        <f>_xlfn.CONCAT(LOWER(Tabulka1[[#This Row],[příjmení bez mezer]]),".",LOWER(Tabulka1[[#This Row],[Jmeno bez mezer]]),"@firmaabc.cz")</f>
        <v>souckova.marcela@firmaabc.cz</v>
      </c>
      <c r="I335" s="2" t="str">
        <f>_xlfn.CONCAT(LOWER(LEFT(Tabulka1[[#This Row],[příjmení bez mezer]],3)),UPPER(RIGHT(Tabulka1[[#This Row],[Jmeno bez mezer]],2)))</f>
        <v>souLA</v>
      </c>
      <c r="J335" s="2" t="s">
        <v>1454</v>
      </c>
      <c r="K335" s="2" t="s">
        <v>1888</v>
      </c>
      <c r="L335" s="3" t="s">
        <v>2343</v>
      </c>
    </row>
    <row r="336" spans="1:12" ht="45" x14ac:dyDescent="0.25">
      <c r="A336" s="2" t="s">
        <v>769</v>
      </c>
      <c r="B336" t="s">
        <v>770</v>
      </c>
      <c r="C336" t="s">
        <v>771</v>
      </c>
      <c r="D336" t="str">
        <f>TRIM(Tabulka1[[#This Row],[Jméno]])</f>
        <v>Danuska</v>
      </c>
      <c r="E336" t="str">
        <f>TRIM(Tabulka1[[#This Row],[Příjmení]])</f>
        <v>Taborska</v>
      </c>
      <c r="F336" s="2" t="str">
        <f>MID(Tabulka1[[#This Row],[Adresa]],1,SEARCH(",",Tabulka1[[#This Row],[Adresa]])-1)</f>
        <v>U Parku 255</v>
      </c>
      <c r="G336" s="2" t="str">
        <f>RIGHT(Tabulka1[[#This Row],[Adresa]],LEN(Tabulka1[[#This Row],[Adresa]])-LEN(Tabulka1[[#This Row],[Ulice]])-1)</f>
        <v>Dolní Bukovsko</v>
      </c>
      <c r="H336" s="2" t="str">
        <f>_xlfn.CONCAT(LOWER(Tabulka1[[#This Row],[příjmení bez mezer]]),".",LOWER(Tabulka1[[#This Row],[Jmeno bez mezer]]),"@firmaabc.cz")</f>
        <v>taborska.danuska@firmaabc.cz</v>
      </c>
      <c r="I336" s="2" t="str">
        <f>_xlfn.CONCAT(LOWER(LEFT(Tabulka1[[#This Row],[příjmení bez mezer]],3)),UPPER(RIGHT(Tabulka1[[#This Row],[Jmeno bez mezer]],2)))</f>
        <v>tabKA</v>
      </c>
      <c r="J336" s="2" t="s">
        <v>1455</v>
      </c>
      <c r="K336" s="2" t="s">
        <v>1889</v>
      </c>
      <c r="L336" s="3" t="s">
        <v>2344</v>
      </c>
    </row>
    <row r="337" spans="1:12" ht="30" x14ac:dyDescent="0.25">
      <c r="A337" s="2" t="s">
        <v>772</v>
      </c>
      <c r="B337" t="s">
        <v>170</v>
      </c>
      <c r="C337" t="s">
        <v>200</v>
      </c>
      <c r="D337" t="str">
        <f>TRIM(Tabulka1[[#This Row],[Jméno]])</f>
        <v>David</v>
      </c>
      <c r="E337" t="str">
        <f>TRIM(Tabulka1[[#This Row],[Příjmení]])</f>
        <v>?Novak</v>
      </c>
      <c r="F337" s="2" t="str">
        <f>MID(Tabulka1[[#This Row],[Adresa]],1,SEARCH(",",Tabulka1[[#This Row],[Adresa]])-1)</f>
        <v>Jindřichova 1382</v>
      </c>
      <c r="G337" s="2" t="str">
        <f>RIGHT(Tabulka1[[#This Row],[Adresa]],LEN(Tabulka1[[#This Row],[Adresa]])-LEN(Tabulka1[[#This Row],[Ulice]])-1)</f>
        <v>Majdalena</v>
      </c>
      <c r="H337" s="2" t="str">
        <f>_xlfn.CONCAT(LOWER(Tabulka1[[#This Row],[příjmení bez mezer]]),".",LOWER(Tabulka1[[#This Row],[Jmeno bez mezer]]),"@firmaabc.cz")</f>
        <v>?novak.david@firmaabc.cz</v>
      </c>
      <c r="I337" s="2" t="str">
        <f>_xlfn.CONCAT(LOWER(LEFT(Tabulka1[[#This Row],[příjmení bez mezer]],3)),UPPER(RIGHT(Tabulka1[[#This Row],[Jmeno bez mezer]],2)))</f>
        <v>?noID</v>
      </c>
      <c r="J337" s="2" t="s">
        <v>1456</v>
      </c>
      <c r="K337" s="2" t="s">
        <v>1890</v>
      </c>
      <c r="L337" s="3" t="s">
        <v>2156</v>
      </c>
    </row>
    <row r="338" spans="1:12" ht="45" x14ac:dyDescent="0.25">
      <c r="A338" s="2" t="s">
        <v>773</v>
      </c>
      <c r="B338" t="s">
        <v>320</v>
      </c>
      <c r="C338" t="s">
        <v>774</v>
      </c>
      <c r="D338" t="str">
        <f>TRIM(Tabulka1[[#This Row],[Jméno]])</f>
        <v>Helena</v>
      </c>
      <c r="E338" t="str">
        <f>TRIM(Tabulka1[[#This Row],[Příjmení]])</f>
        <v>Kafkova</v>
      </c>
      <c r="F338" s="2" t="str">
        <f>MID(Tabulka1[[#This Row],[Adresa]],1,SEARCH(",",Tabulka1[[#This Row],[Adresa]])-1)</f>
        <v>Bratří Čapků 1899</v>
      </c>
      <c r="G338" s="2" t="str">
        <f>RIGHT(Tabulka1[[#This Row],[Adresa]],LEN(Tabulka1[[#This Row],[Adresa]])-LEN(Tabulka1[[#This Row],[Ulice]])-1)</f>
        <v>Bílá Tremešná</v>
      </c>
      <c r="H338" s="2" t="str">
        <f>_xlfn.CONCAT(LOWER(Tabulka1[[#This Row],[příjmení bez mezer]]),".",LOWER(Tabulka1[[#This Row],[Jmeno bez mezer]]),"@firmaabc.cz")</f>
        <v>kafkova.helena@firmaabc.cz</v>
      </c>
      <c r="I338" s="2" t="str">
        <f>_xlfn.CONCAT(LOWER(LEFT(Tabulka1[[#This Row],[příjmení bez mezer]],3)),UPPER(RIGHT(Tabulka1[[#This Row],[Jmeno bez mezer]],2)))</f>
        <v>kafNA</v>
      </c>
      <c r="J338" s="2" t="s">
        <v>1457</v>
      </c>
      <c r="K338" s="2" t="s">
        <v>1786</v>
      </c>
      <c r="L338" s="3" t="s">
        <v>2345</v>
      </c>
    </row>
    <row r="339" spans="1:12" ht="45" x14ac:dyDescent="0.25">
      <c r="A339" s="2" t="s">
        <v>775</v>
      </c>
      <c r="B339" t="s">
        <v>178</v>
      </c>
      <c r="C339" t="s">
        <v>776</v>
      </c>
      <c r="D339" t="str">
        <f>TRIM(Tabulka1[[#This Row],[Jméno]])</f>
        <v>Jaroslav</v>
      </c>
      <c r="E339" t="str">
        <f>TRIM(Tabulka1[[#This Row],[Příjmení]])</f>
        <v>Novotny</v>
      </c>
      <c r="F339" s="2" t="str">
        <f>MID(Tabulka1[[#This Row],[Adresa]],1,SEARCH(",",Tabulka1[[#This Row],[Adresa]])-1)</f>
        <v>Mlýnská 1667</v>
      </c>
      <c r="G339" s="2" t="str">
        <f>RIGHT(Tabulka1[[#This Row],[Adresa]],LEN(Tabulka1[[#This Row],[Adresa]])-LEN(Tabulka1[[#This Row],[Ulice]])-1)</f>
        <v>Olšany u Šumperka</v>
      </c>
      <c r="H339" s="2" t="str">
        <f>_xlfn.CONCAT(LOWER(Tabulka1[[#This Row],[příjmení bez mezer]]),".",LOWER(Tabulka1[[#This Row],[Jmeno bez mezer]]),"@firmaabc.cz")</f>
        <v>novotny.jaroslav@firmaabc.cz</v>
      </c>
      <c r="I339" s="2" t="str">
        <f>_xlfn.CONCAT(LOWER(LEFT(Tabulka1[[#This Row],[příjmení bez mezer]],3)),UPPER(RIGHT(Tabulka1[[#This Row],[Jmeno bez mezer]],2)))</f>
        <v>novAV</v>
      </c>
      <c r="J339" s="2" t="s">
        <v>1458</v>
      </c>
      <c r="K339" s="2" t="s">
        <v>1891</v>
      </c>
      <c r="L339" s="3" t="s">
        <v>2346</v>
      </c>
    </row>
    <row r="340" spans="1:12" ht="30" x14ac:dyDescent="0.25">
      <c r="A340" s="2" t="s">
        <v>777</v>
      </c>
      <c r="B340" t="s">
        <v>287</v>
      </c>
      <c r="C340" t="s">
        <v>778</v>
      </c>
      <c r="D340" t="str">
        <f>TRIM(Tabulka1[[#This Row],[Jméno]])</f>
        <v>Petr</v>
      </c>
      <c r="E340" t="str">
        <f>TRIM(Tabulka1[[#This Row],[Příjmení]])</f>
        <v>Lastuvka</v>
      </c>
      <c r="F340" s="2" t="str">
        <f>MID(Tabulka1[[#This Row],[Adresa]],1,SEARCH(",",Tabulka1[[#This Row],[Adresa]])-1)</f>
        <v>Jiráskova 1119</v>
      </c>
      <c r="G340" s="2" t="str">
        <f>RIGHT(Tabulka1[[#This Row],[Adresa]],LEN(Tabulka1[[#This Row],[Adresa]])-LEN(Tabulka1[[#This Row],[Ulice]])-1)</f>
        <v>Prepere</v>
      </c>
      <c r="H340" s="2" t="str">
        <f>_xlfn.CONCAT(LOWER(Tabulka1[[#This Row],[příjmení bez mezer]]),".",LOWER(Tabulka1[[#This Row],[Jmeno bez mezer]]),"@firmaabc.cz")</f>
        <v>lastuvka.petr@firmaabc.cz</v>
      </c>
      <c r="I340" s="2" t="str">
        <f>_xlfn.CONCAT(LOWER(LEFT(Tabulka1[[#This Row],[příjmení bez mezer]],3)),UPPER(RIGHT(Tabulka1[[#This Row],[Jmeno bez mezer]],2)))</f>
        <v>lasTR</v>
      </c>
      <c r="J340" s="2" t="s">
        <v>1459</v>
      </c>
      <c r="K340" s="2" t="s">
        <v>1892</v>
      </c>
      <c r="L340" s="3" t="s">
        <v>2347</v>
      </c>
    </row>
    <row r="341" spans="1:12" x14ac:dyDescent="0.25">
      <c r="A341" s="2" t="s">
        <v>779</v>
      </c>
      <c r="B341" t="s">
        <v>780</v>
      </c>
      <c r="C341" t="s">
        <v>781</v>
      </c>
      <c r="D341" t="str">
        <f>TRIM(Tabulka1[[#This Row],[Jméno]])</f>
        <v>Karla</v>
      </c>
      <c r="E341" t="str">
        <f>TRIM(Tabulka1[[#This Row],[Příjmení]])</f>
        <v>Oslejskova</v>
      </c>
      <c r="F341" s="2" t="str">
        <f>MID(Tabulka1[[#This Row],[Adresa]],1,SEARCH(",",Tabulka1[[#This Row],[Adresa]])-1)</f>
        <v>Alšova 481</v>
      </c>
      <c r="G341" s="2" t="str">
        <f>RIGHT(Tabulka1[[#This Row],[Adresa]],LEN(Tabulka1[[#This Row],[Adresa]])-LEN(Tabulka1[[#This Row],[Ulice]])-1)</f>
        <v>Cimelice</v>
      </c>
      <c r="H341" s="2" t="str">
        <f>_xlfn.CONCAT(LOWER(Tabulka1[[#This Row],[příjmení bez mezer]]),".",LOWER(Tabulka1[[#This Row],[Jmeno bez mezer]]),"@firmaabc.cz")</f>
        <v>oslejskova.karla@firmaabc.cz</v>
      </c>
      <c r="I341" s="2" t="str">
        <f>_xlfn.CONCAT(LOWER(LEFT(Tabulka1[[#This Row],[příjmení bez mezer]],3)),UPPER(RIGHT(Tabulka1[[#This Row],[Jmeno bez mezer]],2)))</f>
        <v>oslLA</v>
      </c>
      <c r="J341" s="2" t="s">
        <v>1460</v>
      </c>
      <c r="K341" s="2" t="s">
        <v>1708</v>
      </c>
      <c r="L341" s="3" t="s">
        <v>2348</v>
      </c>
    </row>
    <row r="342" spans="1:12" ht="30" x14ac:dyDescent="0.25">
      <c r="A342" s="2" t="s">
        <v>782</v>
      </c>
      <c r="B342" t="s">
        <v>96</v>
      </c>
      <c r="C342" t="s">
        <v>783</v>
      </c>
      <c r="D342" t="str">
        <f>TRIM(Tabulka1[[#This Row],[Jméno]])</f>
        <v>Lukas</v>
      </c>
      <c r="E342" t="str">
        <f>TRIM(Tabulka1[[#This Row],[Příjmení]])</f>
        <v>Dockal</v>
      </c>
      <c r="F342" s="2" t="str">
        <f>MID(Tabulka1[[#This Row],[Adresa]],1,SEARCH(",",Tabulka1[[#This Row],[Adresa]])-1)</f>
        <v>Větrník 1725</v>
      </c>
      <c r="G342" s="2" t="str">
        <f>RIGHT(Tabulka1[[#This Row],[Adresa]],LEN(Tabulka1[[#This Row],[Adresa]])-LEN(Tabulka1[[#This Row],[Ulice]])-1)</f>
        <v>Hronov 1</v>
      </c>
      <c r="H342" s="2" t="str">
        <f>_xlfn.CONCAT(LOWER(Tabulka1[[#This Row],[příjmení bez mezer]]),".",LOWER(Tabulka1[[#This Row],[Jmeno bez mezer]]),"@firmaabc.cz")</f>
        <v>dockal.lukas@firmaabc.cz</v>
      </c>
      <c r="I342" s="2" t="str">
        <f>_xlfn.CONCAT(LOWER(LEFT(Tabulka1[[#This Row],[příjmení bez mezer]],3)),UPPER(RIGHT(Tabulka1[[#This Row],[Jmeno bez mezer]],2)))</f>
        <v>docAS</v>
      </c>
      <c r="J342" s="2" t="s">
        <v>1461</v>
      </c>
      <c r="K342" s="2" t="s">
        <v>1893</v>
      </c>
      <c r="L342" s="3" t="s">
        <v>2349</v>
      </c>
    </row>
    <row r="343" spans="1:12" ht="30" x14ac:dyDescent="0.25">
      <c r="A343" s="2" t="s">
        <v>784</v>
      </c>
      <c r="B343" t="s">
        <v>785</v>
      </c>
      <c r="C343" t="s">
        <v>786</v>
      </c>
      <c r="D343" t="str">
        <f>TRIM(Tabulka1[[#This Row],[Jméno]])</f>
        <v>Marketa</v>
      </c>
      <c r="E343" t="str">
        <f>TRIM(Tabulka1[[#This Row],[Příjmení]])</f>
        <v>Hubkova</v>
      </c>
      <c r="F343" s="2" t="str">
        <f>MID(Tabulka1[[#This Row],[Adresa]],1,SEARCH(",",Tabulka1[[#This Row],[Adresa]])-1)</f>
        <v>Hrubínova 287</v>
      </c>
      <c r="G343" s="2" t="str">
        <f>RIGHT(Tabulka1[[#This Row],[Adresa]],LEN(Tabulka1[[#This Row],[Adresa]])-LEN(Tabulka1[[#This Row],[Ulice]])-1)</f>
        <v>Neveklov</v>
      </c>
      <c r="H343" s="2" t="str">
        <f>_xlfn.CONCAT(LOWER(Tabulka1[[#This Row],[příjmení bez mezer]]),".",LOWER(Tabulka1[[#This Row],[Jmeno bez mezer]]),"@firmaabc.cz")</f>
        <v>hubkova.marketa@firmaabc.cz</v>
      </c>
      <c r="I343" s="2" t="str">
        <f>_xlfn.CONCAT(LOWER(LEFT(Tabulka1[[#This Row],[příjmení bez mezer]],3)),UPPER(RIGHT(Tabulka1[[#This Row],[Jmeno bez mezer]],2)))</f>
        <v>hubTA</v>
      </c>
      <c r="J343" s="2" t="s">
        <v>1462</v>
      </c>
      <c r="K343" s="2" t="s">
        <v>1894</v>
      </c>
      <c r="L343" s="3" t="s">
        <v>2350</v>
      </c>
    </row>
    <row r="344" spans="1:12" ht="30" x14ac:dyDescent="0.25">
      <c r="A344" s="2" t="s">
        <v>787</v>
      </c>
      <c r="B344" t="s">
        <v>189</v>
      </c>
      <c r="C344" t="s">
        <v>788</v>
      </c>
      <c r="D344" t="str">
        <f>TRIM(Tabulka1[[#This Row],[Jméno]])</f>
        <v>Jana</v>
      </c>
      <c r="E344" t="str">
        <f>TRIM(Tabulka1[[#This Row],[Příjmení]])</f>
        <v>Olivova</v>
      </c>
      <c r="F344" s="2" t="str">
        <f>MID(Tabulka1[[#This Row],[Adresa]],1,SEARCH(",",Tabulka1[[#This Row],[Adresa]])-1)</f>
        <v>Sokolská 894</v>
      </c>
      <c r="G344" s="2" t="str">
        <f>RIGHT(Tabulka1[[#This Row],[Adresa]],LEN(Tabulka1[[#This Row],[Adresa]])-LEN(Tabulka1[[#This Row],[Ulice]])-1)</f>
        <v>Troubelice</v>
      </c>
      <c r="H344" s="2" t="str">
        <f>_xlfn.CONCAT(LOWER(Tabulka1[[#This Row],[příjmení bez mezer]]),".",LOWER(Tabulka1[[#This Row],[Jmeno bez mezer]]),"@firmaabc.cz")</f>
        <v>olivova.jana@firmaabc.cz</v>
      </c>
      <c r="I344" s="2" t="str">
        <f>_xlfn.CONCAT(LOWER(LEFT(Tabulka1[[#This Row],[příjmení bez mezer]],3)),UPPER(RIGHT(Tabulka1[[#This Row],[Jmeno bez mezer]],2)))</f>
        <v>oliNA</v>
      </c>
      <c r="J344" s="2" t="s">
        <v>1463</v>
      </c>
      <c r="K344" s="2" t="s">
        <v>1895</v>
      </c>
      <c r="L344" s="3" t="s">
        <v>2351</v>
      </c>
    </row>
    <row r="345" spans="1:12" ht="45" x14ac:dyDescent="0.25">
      <c r="A345" s="2" t="s">
        <v>789</v>
      </c>
      <c r="B345" t="s">
        <v>101</v>
      </c>
      <c r="C345" t="s">
        <v>790</v>
      </c>
      <c r="D345" t="str">
        <f>TRIM(Tabulka1[[#This Row],[Jméno]])</f>
        <v>Frantisek</v>
      </c>
      <c r="E345" t="str">
        <f>TRIM(Tabulka1[[#This Row],[Příjmení]])</f>
        <v>Jezek</v>
      </c>
      <c r="F345" s="2" t="str">
        <f>MID(Tabulka1[[#This Row],[Adresa]],1,SEARCH(",",Tabulka1[[#This Row],[Adresa]])-1)</f>
        <v>Velký průhon 1604</v>
      </c>
      <c r="G345" s="2" t="str">
        <f>RIGHT(Tabulka1[[#This Row],[Adresa]],LEN(Tabulka1[[#This Row],[Adresa]])-LEN(Tabulka1[[#This Row],[Ulice]])-1)</f>
        <v>Knežice u Mestce Králové</v>
      </c>
      <c r="H345" s="2" t="str">
        <f>_xlfn.CONCAT(LOWER(Tabulka1[[#This Row],[příjmení bez mezer]]),".",LOWER(Tabulka1[[#This Row],[Jmeno bez mezer]]),"@firmaabc.cz")</f>
        <v>jezek.frantisek@firmaabc.cz</v>
      </c>
      <c r="I345" s="2" t="str">
        <f>_xlfn.CONCAT(LOWER(LEFT(Tabulka1[[#This Row],[příjmení bez mezer]],3)),UPPER(RIGHT(Tabulka1[[#This Row],[Jmeno bez mezer]],2)))</f>
        <v>jezEK</v>
      </c>
      <c r="J345" s="2" t="s">
        <v>1464</v>
      </c>
      <c r="K345" s="2" t="s">
        <v>1896</v>
      </c>
      <c r="L345" s="3" t="s">
        <v>2352</v>
      </c>
    </row>
    <row r="346" spans="1:12" ht="30" x14ac:dyDescent="0.25">
      <c r="A346" s="2" t="s">
        <v>791</v>
      </c>
      <c r="B346" t="s">
        <v>107</v>
      </c>
      <c r="C346" t="s">
        <v>792</v>
      </c>
      <c r="D346" t="str">
        <f>TRIM(Tabulka1[[#This Row],[Jméno]])</f>
        <v>Sarka</v>
      </c>
      <c r="E346" t="str">
        <f>TRIM(Tabulka1[[#This Row],[Příjmení]])</f>
        <v>Skoupa</v>
      </c>
      <c r="F346" s="2" t="str">
        <f>MID(Tabulka1[[#This Row],[Adresa]],1,SEARCH(",",Tabulka1[[#This Row],[Adresa]])-1)</f>
        <v>Bartákova 1769</v>
      </c>
      <c r="G346" s="2" t="str">
        <f>RIGHT(Tabulka1[[#This Row],[Adresa]],LEN(Tabulka1[[#This Row],[Adresa]])-LEN(Tabulka1[[#This Row],[Ulice]])-1)</f>
        <v>Plumlov</v>
      </c>
      <c r="H346" s="2" t="str">
        <f>_xlfn.CONCAT(LOWER(Tabulka1[[#This Row],[příjmení bez mezer]]),".",LOWER(Tabulka1[[#This Row],[Jmeno bez mezer]]),"@firmaabc.cz")</f>
        <v>skoupa.sarka@firmaabc.cz</v>
      </c>
      <c r="I346" s="2" t="str">
        <f>_xlfn.CONCAT(LOWER(LEFT(Tabulka1[[#This Row],[příjmení bez mezer]],3)),UPPER(RIGHT(Tabulka1[[#This Row],[Jmeno bez mezer]],2)))</f>
        <v>skoKA</v>
      </c>
      <c r="J346" s="2" t="s">
        <v>1465</v>
      </c>
      <c r="K346" s="2" t="s">
        <v>1897</v>
      </c>
      <c r="L346" s="3" t="s">
        <v>2353</v>
      </c>
    </row>
    <row r="347" spans="1:12" ht="30" x14ac:dyDescent="0.25">
      <c r="A347" s="2" t="s">
        <v>793</v>
      </c>
      <c r="B347" t="s">
        <v>217</v>
      </c>
      <c r="C347" t="s">
        <v>794</v>
      </c>
      <c r="D347" t="str">
        <f>TRIM(Tabulka1[[#This Row],[Jméno]])</f>
        <v>Marek</v>
      </c>
      <c r="E347" t="str">
        <f>TRIM(Tabulka1[[#This Row],[Příjmení]])</f>
        <v>Mikula</v>
      </c>
      <c r="F347" s="2" t="str">
        <f>MID(Tabulka1[[#This Row],[Adresa]],1,SEARCH(",",Tabulka1[[#This Row],[Adresa]])-1)</f>
        <v>Fibichova 256</v>
      </c>
      <c r="G347" s="2" t="str">
        <f>RIGHT(Tabulka1[[#This Row],[Adresa]],LEN(Tabulka1[[#This Row],[Adresa]])-LEN(Tabulka1[[#This Row],[Ulice]])-1)</f>
        <v>Melník 1</v>
      </c>
      <c r="H347" s="2" t="str">
        <f>_xlfn.CONCAT(LOWER(Tabulka1[[#This Row],[příjmení bez mezer]]),".",LOWER(Tabulka1[[#This Row],[Jmeno bez mezer]]),"@firmaabc.cz")</f>
        <v>mikula.marek@firmaabc.cz</v>
      </c>
      <c r="I347" s="2" t="str">
        <f>_xlfn.CONCAT(LOWER(LEFT(Tabulka1[[#This Row],[příjmení bez mezer]],3)),UPPER(RIGHT(Tabulka1[[#This Row],[Jmeno bez mezer]],2)))</f>
        <v>mikEK</v>
      </c>
      <c r="J347" s="2" t="s">
        <v>1466</v>
      </c>
      <c r="K347" s="2" t="s">
        <v>1898</v>
      </c>
      <c r="L347" s="3" t="s">
        <v>2354</v>
      </c>
    </row>
    <row r="348" spans="1:12" ht="30" x14ac:dyDescent="0.25">
      <c r="A348" s="2" t="s">
        <v>795</v>
      </c>
      <c r="B348" t="s">
        <v>189</v>
      </c>
      <c r="C348" t="s">
        <v>796</v>
      </c>
      <c r="D348" t="str">
        <f>TRIM(Tabulka1[[#This Row],[Jméno]])</f>
        <v>Jana</v>
      </c>
      <c r="E348" t="str">
        <f>TRIM(Tabulka1[[#This Row],[Příjmení]])</f>
        <v>Koubkova</v>
      </c>
      <c r="F348" s="2" t="str">
        <f>MID(Tabulka1[[#This Row],[Adresa]],1,SEARCH(",",Tabulka1[[#This Row],[Adresa]])-1)</f>
        <v>Luční 279</v>
      </c>
      <c r="G348" s="2" t="str">
        <f>RIGHT(Tabulka1[[#This Row],[Adresa]],LEN(Tabulka1[[#This Row],[Adresa]])-LEN(Tabulka1[[#This Row],[Ulice]])-1)</f>
        <v>Velké Mezirící</v>
      </c>
      <c r="H348" s="2" t="str">
        <f>_xlfn.CONCAT(LOWER(Tabulka1[[#This Row],[příjmení bez mezer]]),".",LOWER(Tabulka1[[#This Row],[Jmeno bez mezer]]),"@firmaabc.cz")</f>
        <v>koubkova.jana@firmaabc.cz</v>
      </c>
      <c r="I348" s="2" t="str">
        <f>_xlfn.CONCAT(LOWER(LEFT(Tabulka1[[#This Row],[příjmení bez mezer]],3)),UPPER(RIGHT(Tabulka1[[#This Row],[Jmeno bez mezer]],2)))</f>
        <v>kouNA</v>
      </c>
      <c r="J348" s="2" t="s">
        <v>1467</v>
      </c>
      <c r="K348" s="2" t="s">
        <v>1719</v>
      </c>
      <c r="L348" s="3" t="s">
        <v>2355</v>
      </c>
    </row>
    <row r="349" spans="1:12" ht="45" x14ac:dyDescent="0.25">
      <c r="A349" s="2" t="s">
        <v>797</v>
      </c>
      <c r="B349" t="s">
        <v>217</v>
      </c>
      <c r="C349" t="s">
        <v>798</v>
      </c>
      <c r="D349" t="str">
        <f>TRIM(Tabulka1[[#This Row],[Jméno]])</f>
        <v>Marek</v>
      </c>
      <c r="E349" t="str">
        <f>TRIM(Tabulka1[[#This Row],[Příjmení]])</f>
        <v>Hajek</v>
      </c>
      <c r="F349" s="2" t="str">
        <f>MID(Tabulka1[[#This Row],[Adresa]],1,SEARCH(",",Tabulka1[[#This Row],[Adresa]])-1)</f>
        <v>U medvídků 1483</v>
      </c>
      <c r="G349" s="2" t="str">
        <f>RIGHT(Tabulka1[[#This Row],[Adresa]],LEN(Tabulka1[[#This Row],[Adresa]])-LEN(Tabulka1[[#This Row],[Ulice]])-1)</f>
        <v>Kamýk nad Vltavou</v>
      </c>
      <c r="H349" s="2" t="str">
        <f>_xlfn.CONCAT(LOWER(Tabulka1[[#This Row],[příjmení bez mezer]]),".",LOWER(Tabulka1[[#This Row],[Jmeno bez mezer]]),"@firmaabc.cz")</f>
        <v>hajek.marek@firmaabc.cz</v>
      </c>
      <c r="I349" s="2" t="str">
        <f>_xlfn.CONCAT(LOWER(LEFT(Tabulka1[[#This Row],[příjmení bez mezer]],3)),UPPER(RIGHT(Tabulka1[[#This Row],[Jmeno bez mezer]],2)))</f>
        <v>hajEK</v>
      </c>
      <c r="J349" s="2" t="s">
        <v>1468</v>
      </c>
      <c r="K349" s="2" t="s">
        <v>1899</v>
      </c>
      <c r="L349" s="3" t="s">
        <v>2356</v>
      </c>
    </row>
    <row r="350" spans="1:12" ht="45" x14ac:dyDescent="0.25">
      <c r="A350" s="2" t="s">
        <v>799</v>
      </c>
      <c r="B350" t="s">
        <v>800</v>
      </c>
      <c r="C350" t="s">
        <v>801</v>
      </c>
      <c r="D350" t="str">
        <f>TRIM(Tabulka1[[#This Row],[Jméno]])</f>
        <v>Julie</v>
      </c>
      <c r="E350" t="str">
        <f>TRIM(Tabulka1[[#This Row],[Příjmení]])</f>
        <v>Majorova</v>
      </c>
      <c r="F350" s="2" t="str">
        <f>MID(Tabulka1[[#This Row],[Adresa]],1,SEARCH(",",Tabulka1[[#This Row],[Adresa]])-1)</f>
        <v>Strojírenská 1809</v>
      </c>
      <c r="G350" s="2" t="str">
        <f>RIGHT(Tabulka1[[#This Row],[Adresa]],LEN(Tabulka1[[#This Row],[Adresa]])-LEN(Tabulka1[[#This Row],[Ulice]])-1)</f>
        <v>Ždár nad Sázavou 2</v>
      </c>
      <c r="H350" s="2" t="str">
        <f>_xlfn.CONCAT(LOWER(Tabulka1[[#This Row],[příjmení bez mezer]]),".",LOWER(Tabulka1[[#This Row],[Jmeno bez mezer]]),"@firmaabc.cz")</f>
        <v>majorova.julie@firmaabc.cz</v>
      </c>
      <c r="I350" s="2" t="str">
        <f>_xlfn.CONCAT(LOWER(LEFT(Tabulka1[[#This Row],[příjmení bez mezer]],3)),UPPER(RIGHT(Tabulka1[[#This Row],[Jmeno bez mezer]],2)))</f>
        <v>majIE</v>
      </c>
      <c r="J350" s="2" t="s">
        <v>1469</v>
      </c>
      <c r="K350" s="2" t="s">
        <v>1900</v>
      </c>
      <c r="L350" s="3" t="s">
        <v>2357</v>
      </c>
    </row>
    <row r="351" spans="1:12" ht="30" x14ac:dyDescent="0.25">
      <c r="A351" s="2" t="s">
        <v>802</v>
      </c>
      <c r="B351" t="s">
        <v>308</v>
      </c>
      <c r="C351" t="s">
        <v>803</v>
      </c>
      <c r="D351" t="str">
        <f>TRIM(Tabulka1[[#This Row],[Jméno]])</f>
        <v>Stanislav</v>
      </c>
      <c r="E351" t="str">
        <f>TRIM(Tabulka1[[#This Row],[Příjmení]])</f>
        <v>Hofman</v>
      </c>
      <c r="F351" s="2" t="str">
        <f>MID(Tabulka1[[#This Row],[Adresa]],1,SEARCH(",",Tabulka1[[#This Row],[Adresa]])-1)</f>
        <v>Havlíčkova 1443</v>
      </c>
      <c r="G351" s="2" t="str">
        <f>RIGHT(Tabulka1[[#This Row],[Adresa]],LEN(Tabulka1[[#This Row],[Adresa]])-LEN(Tabulka1[[#This Row],[Ulice]])-1)</f>
        <v>Vejprty</v>
      </c>
      <c r="H351" s="2" t="str">
        <f>_xlfn.CONCAT(LOWER(Tabulka1[[#This Row],[příjmení bez mezer]]),".",LOWER(Tabulka1[[#This Row],[Jmeno bez mezer]]),"@firmaabc.cz")</f>
        <v>hofman.stanislav@firmaabc.cz</v>
      </c>
      <c r="I351" s="2" t="str">
        <f>_xlfn.CONCAT(LOWER(LEFT(Tabulka1[[#This Row],[příjmení bez mezer]],3)),UPPER(RIGHT(Tabulka1[[#This Row],[Jmeno bez mezer]],2)))</f>
        <v>hofAV</v>
      </c>
      <c r="J351" s="2" t="s">
        <v>1470</v>
      </c>
      <c r="K351" s="2" t="s">
        <v>1901</v>
      </c>
      <c r="L351" s="3" t="s">
        <v>2358</v>
      </c>
    </row>
    <row r="352" spans="1:12" ht="30" x14ac:dyDescent="0.25">
      <c r="A352" s="2" t="s">
        <v>804</v>
      </c>
      <c r="B352" t="s">
        <v>268</v>
      </c>
      <c r="C352" t="s">
        <v>698</v>
      </c>
      <c r="D352" t="str">
        <f>TRIM(Tabulka1[[#This Row],[Jméno]])</f>
        <v>Anna</v>
      </c>
      <c r="E352" t="str">
        <f>TRIM(Tabulka1[[#This Row],[Příjmení]])</f>
        <v>Novakova</v>
      </c>
      <c r="F352" s="2" t="str">
        <f>MID(Tabulka1[[#This Row],[Adresa]],1,SEARCH(",",Tabulka1[[#This Row],[Adresa]])-1)</f>
        <v>Bezručova 836</v>
      </c>
      <c r="G352" s="2" t="str">
        <f>RIGHT(Tabulka1[[#This Row],[Adresa]],LEN(Tabulka1[[#This Row],[Adresa]])-LEN(Tabulka1[[#This Row],[Ulice]])-1)</f>
        <v>Šternberk 1</v>
      </c>
      <c r="H352" s="2" t="str">
        <f>_xlfn.CONCAT(LOWER(Tabulka1[[#This Row],[příjmení bez mezer]]),".",LOWER(Tabulka1[[#This Row],[Jmeno bez mezer]]),"@firmaabc.cz")</f>
        <v>novakova.anna@firmaabc.cz</v>
      </c>
      <c r="I352" s="2" t="str">
        <f>_xlfn.CONCAT(LOWER(LEFT(Tabulka1[[#This Row],[příjmení bez mezer]],3)),UPPER(RIGHT(Tabulka1[[#This Row],[Jmeno bez mezer]],2)))</f>
        <v>novNA</v>
      </c>
      <c r="J352" s="2" t="s">
        <v>1471</v>
      </c>
      <c r="K352" s="2" t="s">
        <v>1712</v>
      </c>
      <c r="L352" s="3" t="s">
        <v>2359</v>
      </c>
    </row>
    <row r="353" spans="1:12" x14ac:dyDescent="0.25">
      <c r="A353" s="2" t="s">
        <v>805</v>
      </c>
      <c r="B353" t="s">
        <v>232</v>
      </c>
      <c r="C353" t="s">
        <v>806</v>
      </c>
      <c r="D353" t="str">
        <f>TRIM(Tabulka1[[#This Row],[Jméno]])</f>
        <v>Zdenek</v>
      </c>
      <c r="E353" t="str">
        <f>TRIM(Tabulka1[[#This Row],[Příjmení]])</f>
        <v>Olah</v>
      </c>
      <c r="F353" s="2" t="str">
        <f>MID(Tabulka1[[#This Row],[Adresa]],1,SEARCH(",",Tabulka1[[#This Row],[Adresa]])-1)</f>
        <v>Tylova 348</v>
      </c>
      <c r="G353" s="2" t="str">
        <f>RIGHT(Tabulka1[[#This Row],[Adresa]],LEN(Tabulka1[[#This Row],[Adresa]])-LEN(Tabulka1[[#This Row],[Ulice]])-1)</f>
        <v>Svitavy 2</v>
      </c>
      <c r="H353" s="2" t="str">
        <f>_xlfn.CONCAT(LOWER(Tabulka1[[#This Row],[příjmení bez mezer]]),".",LOWER(Tabulka1[[#This Row],[Jmeno bez mezer]]),"@firmaabc.cz")</f>
        <v>olah.zdenek@firmaabc.cz</v>
      </c>
      <c r="I353" s="2" t="str">
        <f>_xlfn.CONCAT(LOWER(LEFT(Tabulka1[[#This Row],[příjmení bez mezer]],3)),UPPER(RIGHT(Tabulka1[[#This Row],[Jmeno bez mezer]],2)))</f>
        <v>olaEK</v>
      </c>
      <c r="J353" s="2" t="s">
        <v>1472</v>
      </c>
      <c r="K353" s="2" t="s">
        <v>1823</v>
      </c>
      <c r="L353" s="3" t="s">
        <v>2360</v>
      </c>
    </row>
    <row r="354" spans="1:12" ht="45" x14ac:dyDescent="0.25">
      <c r="A354" s="2" t="s">
        <v>807</v>
      </c>
      <c r="B354" t="s">
        <v>242</v>
      </c>
      <c r="C354" t="s">
        <v>446</v>
      </c>
      <c r="D354" t="str">
        <f>TRIM(Tabulka1[[#This Row],[Jméno]])</f>
        <v>Roman</v>
      </c>
      <c r="E354" t="str">
        <f>TRIM(Tabulka1[[#This Row],[Příjmení]])</f>
        <v>Fiser</v>
      </c>
      <c r="F354" s="2" t="str">
        <f>MID(Tabulka1[[#This Row],[Adresa]],1,SEARCH(",",Tabulka1[[#This Row],[Adresa]])-1)</f>
        <v>Bedřicha Smetany 1558</v>
      </c>
      <c r="G354" s="2" t="str">
        <f>RIGHT(Tabulka1[[#This Row],[Adresa]],LEN(Tabulka1[[#This Row],[Adresa]])-LEN(Tabulka1[[#This Row],[Ulice]])-1)</f>
        <v>Boršice u Buchlovic</v>
      </c>
      <c r="H354" s="2" t="str">
        <f>_xlfn.CONCAT(LOWER(Tabulka1[[#This Row],[příjmení bez mezer]]),".",LOWER(Tabulka1[[#This Row],[Jmeno bez mezer]]),"@firmaabc.cz")</f>
        <v>fiser.roman@firmaabc.cz</v>
      </c>
      <c r="I354" s="2" t="str">
        <f>_xlfn.CONCAT(LOWER(LEFT(Tabulka1[[#This Row],[příjmení bez mezer]],3)),UPPER(RIGHT(Tabulka1[[#This Row],[Jmeno bez mezer]],2)))</f>
        <v>fisAN</v>
      </c>
      <c r="J354" s="2" t="s">
        <v>1473</v>
      </c>
      <c r="K354" s="2" t="s">
        <v>1902</v>
      </c>
      <c r="L354" s="3" t="s">
        <v>2361</v>
      </c>
    </row>
    <row r="355" spans="1:12" ht="30" x14ac:dyDescent="0.25">
      <c r="A355" s="2" t="s">
        <v>808</v>
      </c>
      <c r="B355" t="s">
        <v>324</v>
      </c>
      <c r="C355" t="s">
        <v>809</v>
      </c>
      <c r="D355" t="str">
        <f>TRIM(Tabulka1[[#This Row],[Jméno]])</f>
        <v>Milan</v>
      </c>
      <c r="E355" t="str">
        <f>TRIM(Tabulka1[[#This Row],[Příjmení]])</f>
        <v>Simon</v>
      </c>
      <c r="F355" s="2" t="str">
        <f>MID(Tabulka1[[#This Row],[Adresa]],1,SEARCH(",",Tabulka1[[#This Row],[Adresa]])-1)</f>
        <v>Václava Haňky 1060</v>
      </c>
      <c r="G355" s="2" t="str">
        <f>RIGHT(Tabulka1[[#This Row],[Adresa]],LEN(Tabulka1[[#This Row],[Adresa]])-LEN(Tabulka1[[#This Row],[Ulice]])-1)</f>
        <v>Dolní Kounice</v>
      </c>
      <c r="H355" s="2" t="str">
        <f>_xlfn.CONCAT(LOWER(Tabulka1[[#This Row],[příjmení bez mezer]]),".",LOWER(Tabulka1[[#This Row],[Jmeno bez mezer]]),"@firmaabc.cz")</f>
        <v>simon.milan@firmaabc.cz</v>
      </c>
      <c r="I355" s="2" t="str">
        <f>_xlfn.CONCAT(LOWER(LEFT(Tabulka1[[#This Row],[příjmení bez mezer]],3)),UPPER(RIGHT(Tabulka1[[#This Row],[Jmeno bez mezer]],2)))</f>
        <v>simAN</v>
      </c>
      <c r="J355" s="2" t="s">
        <v>1474</v>
      </c>
      <c r="K355" s="2" t="s">
        <v>1876</v>
      </c>
      <c r="L355" s="3" t="s">
        <v>2362</v>
      </c>
    </row>
    <row r="356" spans="1:12" ht="45" x14ac:dyDescent="0.25">
      <c r="A356" s="2" t="s">
        <v>810</v>
      </c>
      <c r="B356" t="s">
        <v>785</v>
      </c>
      <c r="C356" t="s">
        <v>811</v>
      </c>
      <c r="D356" t="str">
        <f>TRIM(Tabulka1[[#This Row],[Jméno]])</f>
        <v>Marketa</v>
      </c>
      <c r="E356" t="str">
        <f>TRIM(Tabulka1[[#This Row],[Příjmení]])</f>
        <v>Mitasova</v>
      </c>
      <c r="F356" s="2" t="str">
        <f>MID(Tabulka1[[#This Row],[Adresa]],1,SEARCH(",",Tabulka1[[#This Row],[Adresa]])-1)</f>
        <v>Na Loučkách 271</v>
      </c>
      <c r="G356" s="2" t="str">
        <f>RIGHT(Tabulka1[[#This Row],[Adresa]],LEN(Tabulka1[[#This Row],[Adresa]])-LEN(Tabulka1[[#This Row],[Ulice]])-1)</f>
        <v>Adamov 1</v>
      </c>
      <c r="H356" s="2" t="str">
        <f>_xlfn.CONCAT(LOWER(Tabulka1[[#This Row],[příjmení bez mezer]]),".",LOWER(Tabulka1[[#This Row],[Jmeno bez mezer]]),"@firmaabc.cz")</f>
        <v>mitasova.marketa@firmaabc.cz</v>
      </c>
      <c r="I356" s="2" t="str">
        <f>_xlfn.CONCAT(LOWER(LEFT(Tabulka1[[#This Row],[příjmení bez mezer]],3)),UPPER(RIGHT(Tabulka1[[#This Row],[Jmeno bez mezer]],2)))</f>
        <v>mitTA</v>
      </c>
      <c r="J356" s="2" t="s">
        <v>1475</v>
      </c>
      <c r="K356" s="2" t="s">
        <v>1836</v>
      </c>
      <c r="L356" s="3" t="s">
        <v>2363</v>
      </c>
    </row>
    <row r="357" spans="1:12" ht="30" x14ac:dyDescent="0.25">
      <c r="A357" s="2" t="s">
        <v>812</v>
      </c>
      <c r="B357" t="s">
        <v>123</v>
      </c>
      <c r="C357" t="s">
        <v>813</v>
      </c>
      <c r="D357" t="str">
        <f>TRIM(Tabulka1[[#This Row],[Jméno]])</f>
        <v>Veronika</v>
      </c>
      <c r="E357" t="str">
        <f>TRIM(Tabulka1[[#This Row],[Příjmení]])</f>
        <v>Smutna</v>
      </c>
      <c r="F357" s="2" t="str">
        <f>MID(Tabulka1[[#This Row],[Adresa]],1,SEARCH(",",Tabulka1[[#This Row],[Adresa]])-1)</f>
        <v>U Křížku 545</v>
      </c>
      <c r="G357" s="2" t="str">
        <f>RIGHT(Tabulka1[[#This Row],[Adresa]],LEN(Tabulka1[[#This Row],[Adresa]])-LEN(Tabulka1[[#This Row],[Ulice]])-1)</f>
        <v>Sychrov</v>
      </c>
      <c r="H357" s="2" t="str">
        <f>_xlfn.CONCAT(LOWER(Tabulka1[[#This Row],[příjmení bez mezer]]),".",LOWER(Tabulka1[[#This Row],[Jmeno bez mezer]]),"@firmaabc.cz")</f>
        <v>smutna.veronika@firmaabc.cz</v>
      </c>
      <c r="I357" s="2" t="str">
        <f>_xlfn.CONCAT(LOWER(LEFT(Tabulka1[[#This Row],[příjmení bez mezer]],3)),UPPER(RIGHT(Tabulka1[[#This Row],[Jmeno bez mezer]],2)))</f>
        <v>smuKA</v>
      </c>
      <c r="J357" s="2" t="s">
        <v>1476</v>
      </c>
      <c r="K357" s="2" t="s">
        <v>1903</v>
      </c>
      <c r="L357" s="3" t="s">
        <v>2364</v>
      </c>
    </row>
    <row r="358" spans="1:12" ht="30" x14ac:dyDescent="0.25">
      <c r="A358" s="2" t="s">
        <v>814</v>
      </c>
      <c r="B358" t="s">
        <v>456</v>
      </c>
      <c r="C358" t="s">
        <v>815</v>
      </c>
      <c r="D358" t="str">
        <f>TRIM(Tabulka1[[#This Row],[Jméno]])</f>
        <v>Libor</v>
      </c>
      <c r="E358" t="str">
        <f>TRIM(Tabulka1[[#This Row],[Příjmení]])</f>
        <v>Zvonicek</v>
      </c>
      <c r="F358" s="2" t="str">
        <f>MID(Tabulka1[[#This Row],[Adresa]],1,SEARCH(",",Tabulka1[[#This Row],[Adresa]])-1)</f>
        <v>Příkopy 1761</v>
      </c>
      <c r="G358" s="2" t="str">
        <f>RIGHT(Tabulka1[[#This Row],[Adresa]],LEN(Tabulka1[[#This Row],[Adresa]])-LEN(Tabulka1[[#This Row],[Ulice]])-1)</f>
        <v>Záchlumí</v>
      </c>
      <c r="H358" s="2" t="str">
        <f>_xlfn.CONCAT(LOWER(Tabulka1[[#This Row],[příjmení bez mezer]]),".",LOWER(Tabulka1[[#This Row],[Jmeno bez mezer]]),"@firmaabc.cz")</f>
        <v>zvonicek.libor@firmaabc.cz</v>
      </c>
      <c r="I358" s="2" t="str">
        <f>_xlfn.CONCAT(LOWER(LEFT(Tabulka1[[#This Row],[příjmení bez mezer]],3)),UPPER(RIGHT(Tabulka1[[#This Row],[Jmeno bez mezer]],2)))</f>
        <v>zvoOR</v>
      </c>
      <c r="J358" s="2" t="s">
        <v>1477</v>
      </c>
      <c r="K358" s="2" t="s">
        <v>1904</v>
      </c>
      <c r="L358" s="3" t="s">
        <v>2365</v>
      </c>
    </row>
    <row r="359" spans="1:12" ht="30" x14ac:dyDescent="0.25">
      <c r="A359" s="2" t="s">
        <v>816</v>
      </c>
      <c r="B359" t="s">
        <v>15</v>
      </c>
      <c r="C359" t="s">
        <v>817</v>
      </c>
      <c r="D359" t="str">
        <f>TRIM(Tabulka1[[#This Row],[Jméno]])</f>
        <v>Vladimir</v>
      </c>
      <c r="E359" t="str">
        <f>TRIM(Tabulka1[[#This Row],[Příjmení]])</f>
        <v>Forst</v>
      </c>
      <c r="F359" s="2" t="str">
        <f>MID(Tabulka1[[#This Row],[Adresa]],1,SEARCH(",",Tabulka1[[#This Row],[Adresa]])-1)</f>
        <v>Na Výsluní 639</v>
      </c>
      <c r="G359" s="2" t="str">
        <f>RIGHT(Tabulka1[[#This Row],[Adresa]],LEN(Tabulka1[[#This Row],[Adresa]])-LEN(Tabulka1[[#This Row],[Ulice]])-1)</f>
        <v>Bor u Tachova</v>
      </c>
      <c r="H359" s="2" t="str">
        <f>_xlfn.CONCAT(LOWER(Tabulka1[[#This Row],[příjmení bez mezer]]),".",LOWER(Tabulka1[[#This Row],[Jmeno bez mezer]]),"@firmaabc.cz")</f>
        <v>forst.vladimir@firmaabc.cz</v>
      </c>
      <c r="I359" s="2" t="str">
        <f>_xlfn.CONCAT(LOWER(LEFT(Tabulka1[[#This Row],[příjmení bez mezer]],3)),UPPER(RIGHT(Tabulka1[[#This Row],[Jmeno bez mezer]],2)))</f>
        <v>forIR</v>
      </c>
      <c r="J359" s="2" t="s">
        <v>1478</v>
      </c>
      <c r="K359" s="2" t="s">
        <v>1905</v>
      </c>
      <c r="L359" s="3" t="s">
        <v>2366</v>
      </c>
    </row>
    <row r="360" spans="1:12" ht="30" x14ac:dyDescent="0.25">
      <c r="A360" s="2" t="s">
        <v>818</v>
      </c>
      <c r="B360" t="s">
        <v>91</v>
      </c>
      <c r="C360" t="s">
        <v>819</v>
      </c>
      <c r="D360" t="str">
        <f>TRIM(Tabulka1[[#This Row],[Jméno]])</f>
        <v>Vera</v>
      </c>
      <c r="E360" t="str">
        <f>TRIM(Tabulka1[[#This Row],[Příjmení]])</f>
        <v>Vojtkova</v>
      </c>
      <c r="F360" s="2" t="str">
        <f>MID(Tabulka1[[#This Row],[Adresa]],1,SEARCH(",",Tabulka1[[#This Row],[Adresa]])-1)</f>
        <v>Generála Jaroše 889</v>
      </c>
      <c r="G360" s="2" t="str">
        <f>RIGHT(Tabulka1[[#This Row],[Adresa]],LEN(Tabulka1[[#This Row],[Adresa]])-LEN(Tabulka1[[#This Row],[Ulice]])-1)</f>
        <v>Osová Bítýška</v>
      </c>
      <c r="H360" s="2" t="str">
        <f>_xlfn.CONCAT(LOWER(Tabulka1[[#This Row],[příjmení bez mezer]]),".",LOWER(Tabulka1[[#This Row],[Jmeno bez mezer]]),"@firmaabc.cz")</f>
        <v>vojtkova.vera@firmaabc.cz</v>
      </c>
      <c r="I360" s="2" t="str">
        <f>_xlfn.CONCAT(LOWER(LEFT(Tabulka1[[#This Row],[příjmení bez mezer]],3)),UPPER(RIGHT(Tabulka1[[#This Row],[Jmeno bez mezer]],2)))</f>
        <v>vojRA</v>
      </c>
      <c r="J360" s="2" t="s">
        <v>1479</v>
      </c>
      <c r="K360" s="2" t="s">
        <v>1906</v>
      </c>
      <c r="L360" s="3" t="s">
        <v>2367</v>
      </c>
    </row>
    <row r="361" spans="1:12" ht="45" x14ac:dyDescent="0.25">
      <c r="A361" s="2" t="s">
        <v>820</v>
      </c>
      <c r="B361" t="s">
        <v>123</v>
      </c>
      <c r="C361" t="s">
        <v>821</v>
      </c>
      <c r="D361" t="str">
        <f>TRIM(Tabulka1[[#This Row],[Jméno]])</f>
        <v>Veronika</v>
      </c>
      <c r="E361" t="str">
        <f>TRIM(Tabulka1[[#This Row],[Příjmení]])</f>
        <v>Dubinova</v>
      </c>
      <c r="F361" s="2" t="str">
        <f>MID(Tabulka1[[#This Row],[Adresa]],1,SEARCH(",",Tabulka1[[#This Row],[Adresa]])-1)</f>
        <v>Klimenta Čermáka 201</v>
      </c>
      <c r="G361" s="2" t="str">
        <f>RIGHT(Tabulka1[[#This Row],[Adresa]],LEN(Tabulka1[[#This Row],[Adresa]])-LEN(Tabulka1[[#This Row],[Ulice]])-1)</f>
        <v>Cáslav</v>
      </c>
      <c r="H361" s="2" t="str">
        <f>_xlfn.CONCAT(LOWER(Tabulka1[[#This Row],[příjmení bez mezer]]),".",LOWER(Tabulka1[[#This Row],[Jmeno bez mezer]]),"@firmaabc.cz")</f>
        <v>dubinova.veronika@firmaabc.cz</v>
      </c>
      <c r="I361" s="2" t="str">
        <f>_xlfn.CONCAT(LOWER(LEFT(Tabulka1[[#This Row],[příjmení bez mezer]],3)),UPPER(RIGHT(Tabulka1[[#This Row],[Jmeno bez mezer]],2)))</f>
        <v>dubKA</v>
      </c>
      <c r="J361" s="2" t="s">
        <v>1480</v>
      </c>
      <c r="K361" s="2" t="s">
        <v>1727</v>
      </c>
      <c r="L361" s="3" t="s">
        <v>2368</v>
      </c>
    </row>
    <row r="362" spans="1:12" ht="45" x14ac:dyDescent="0.25">
      <c r="A362" s="2" t="s">
        <v>822</v>
      </c>
      <c r="B362" t="s">
        <v>85</v>
      </c>
      <c r="C362" t="s">
        <v>823</v>
      </c>
      <c r="D362" t="str">
        <f>TRIM(Tabulka1[[#This Row],[Jméno]])</f>
        <v>Martin</v>
      </c>
      <c r="E362" t="str">
        <f>TRIM(Tabulka1[[#This Row],[Příjmení]])</f>
        <v>Meduna</v>
      </c>
      <c r="F362" s="2" t="str">
        <f>MID(Tabulka1[[#This Row],[Adresa]],1,SEARCH(",",Tabulka1[[#This Row],[Adresa]])-1)</f>
        <v>Jiřího z Poděbrad 1862</v>
      </c>
      <c r="G362" s="2" t="str">
        <f>RIGHT(Tabulka1[[#This Row],[Adresa]],LEN(Tabulka1[[#This Row],[Adresa]])-LEN(Tabulka1[[#This Row],[Ulice]])-1)</f>
        <v>Staré Krecany</v>
      </c>
      <c r="H362" s="2" t="str">
        <f>_xlfn.CONCAT(LOWER(Tabulka1[[#This Row],[příjmení bez mezer]]),".",LOWER(Tabulka1[[#This Row],[Jmeno bez mezer]]),"@firmaabc.cz")</f>
        <v>meduna.martin@firmaabc.cz</v>
      </c>
      <c r="I362" s="2" t="str">
        <f>_xlfn.CONCAT(LOWER(LEFT(Tabulka1[[#This Row],[příjmení bez mezer]],3)),UPPER(RIGHT(Tabulka1[[#This Row],[Jmeno bez mezer]],2)))</f>
        <v>medIN</v>
      </c>
      <c r="J362" s="2" t="s">
        <v>1481</v>
      </c>
      <c r="K362" s="2" t="s">
        <v>1907</v>
      </c>
      <c r="L362" s="3" t="s">
        <v>2369</v>
      </c>
    </row>
    <row r="363" spans="1:12" ht="30" x14ac:dyDescent="0.25">
      <c r="A363" s="2" t="s">
        <v>824</v>
      </c>
      <c r="B363" t="s">
        <v>70</v>
      </c>
      <c r="C363" t="s">
        <v>825</v>
      </c>
      <c r="D363" t="str">
        <f>TRIM(Tabulka1[[#This Row],[Jméno]])</f>
        <v>Jakub</v>
      </c>
      <c r="E363" t="str">
        <f>TRIM(Tabulka1[[#This Row],[Příjmení]])</f>
        <v>Sramek</v>
      </c>
      <c r="F363" s="2" t="str">
        <f>MID(Tabulka1[[#This Row],[Adresa]],1,SEARCH(",",Tabulka1[[#This Row],[Adresa]])-1)</f>
        <v>Bartákova 162</v>
      </c>
      <c r="G363" s="2" t="str">
        <f>RIGHT(Tabulka1[[#This Row],[Adresa]],LEN(Tabulka1[[#This Row],[Adresa]])-LEN(Tabulka1[[#This Row],[Ulice]])-1)</f>
        <v>Plumlov</v>
      </c>
      <c r="H363" s="2" t="str">
        <f>_xlfn.CONCAT(LOWER(Tabulka1[[#This Row],[příjmení bez mezer]]),".",LOWER(Tabulka1[[#This Row],[Jmeno bez mezer]]),"@firmaabc.cz")</f>
        <v>sramek.jakub@firmaabc.cz</v>
      </c>
      <c r="I363" s="2" t="str">
        <f>_xlfn.CONCAT(LOWER(LEFT(Tabulka1[[#This Row],[příjmení bez mezer]],3)),UPPER(RIGHT(Tabulka1[[#This Row],[Jmeno bez mezer]],2)))</f>
        <v>sraUB</v>
      </c>
      <c r="J363" s="2" t="s">
        <v>1482</v>
      </c>
      <c r="K363" s="2" t="s">
        <v>1897</v>
      </c>
      <c r="L363" s="3" t="s">
        <v>2370</v>
      </c>
    </row>
    <row r="364" spans="1:12" ht="30" x14ac:dyDescent="0.25">
      <c r="A364" s="2" t="s">
        <v>826</v>
      </c>
      <c r="B364" t="s">
        <v>82</v>
      </c>
      <c r="C364" t="s">
        <v>827</v>
      </c>
      <c r="D364" t="str">
        <f>TRIM(Tabulka1[[#This Row],[Jméno]])</f>
        <v>Katerina</v>
      </c>
      <c r="E364" t="str">
        <f>TRIM(Tabulka1[[#This Row],[Příjmení]])</f>
        <v>Machova</v>
      </c>
      <c r="F364" s="2" t="str">
        <f>MID(Tabulka1[[#This Row],[Adresa]],1,SEARCH(",",Tabulka1[[#This Row],[Adresa]])-1)</f>
        <v>Švermova 1167</v>
      </c>
      <c r="G364" s="2" t="str">
        <f>RIGHT(Tabulka1[[#This Row],[Adresa]],LEN(Tabulka1[[#This Row],[Adresa]])-LEN(Tabulka1[[#This Row],[Ulice]])-1)</f>
        <v>Liberec 15</v>
      </c>
      <c r="H364" s="2" t="str">
        <f>_xlfn.CONCAT(LOWER(Tabulka1[[#This Row],[příjmení bez mezer]]),".",LOWER(Tabulka1[[#This Row],[Jmeno bez mezer]]),"@firmaabc.cz")</f>
        <v>machova.katerina@firmaabc.cz</v>
      </c>
      <c r="I364" s="2" t="str">
        <f>_xlfn.CONCAT(LOWER(LEFT(Tabulka1[[#This Row],[příjmení bez mezer]],3)),UPPER(RIGHT(Tabulka1[[#This Row],[Jmeno bez mezer]],2)))</f>
        <v>macNA</v>
      </c>
      <c r="J364" s="2" t="s">
        <v>1483</v>
      </c>
      <c r="K364" s="2" t="s">
        <v>1908</v>
      </c>
      <c r="L364" s="3" t="s">
        <v>2371</v>
      </c>
    </row>
    <row r="365" spans="1:12" x14ac:dyDescent="0.25">
      <c r="A365" s="2" t="s">
        <v>828</v>
      </c>
      <c r="B365" t="s">
        <v>582</v>
      </c>
      <c r="C365" t="s">
        <v>829</v>
      </c>
      <c r="D365" t="str">
        <f>TRIM(Tabulka1[[#This Row],[Jméno]])</f>
        <v>Boleslav</v>
      </c>
      <c r="E365" t="str">
        <f>TRIM(Tabulka1[[#This Row],[Příjmení]])</f>
        <v>Valenta</v>
      </c>
      <c r="F365" s="2" t="str">
        <f>MID(Tabulka1[[#This Row],[Adresa]],1,SEARCH(",",Tabulka1[[#This Row],[Adresa]])-1)</f>
        <v>Alšova 680</v>
      </c>
      <c r="G365" s="2" t="str">
        <f>RIGHT(Tabulka1[[#This Row],[Adresa]],LEN(Tabulka1[[#This Row],[Adresa]])-LEN(Tabulka1[[#This Row],[Ulice]])-1)</f>
        <v>Protivín</v>
      </c>
      <c r="H365" s="2" t="str">
        <f>_xlfn.CONCAT(LOWER(Tabulka1[[#This Row],[příjmení bez mezer]]),".",LOWER(Tabulka1[[#This Row],[Jmeno bez mezer]]),"@firmaabc.cz")</f>
        <v>valenta.boleslav@firmaabc.cz</v>
      </c>
      <c r="I365" s="2" t="str">
        <f>_xlfn.CONCAT(LOWER(LEFT(Tabulka1[[#This Row],[příjmení bez mezer]],3)),UPPER(RIGHT(Tabulka1[[#This Row],[Jmeno bez mezer]],2)))</f>
        <v>valAV</v>
      </c>
      <c r="J365" s="2" t="s">
        <v>1484</v>
      </c>
      <c r="K365" s="2" t="s">
        <v>1909</v>
      </c>
      <c r="L365" s="3" t="s">
        <v>2372</v>
      </c>
    </row>
    <row r="366" spans="1:12" ht="45" x14ac:dyDescent="0.25">
      <c r="A366" s="2" t="s">
        <v>830</v>
      </c>
      <c r="B366" t="s">
        <v>160</v>
      </c>
      <c r="C366" t="s">
        <v>831</v>
      </c>
      <c r="D366" t="str">
        <f>TRIM(Tabulka1[[#This Row],[Jméno]])</f>
        <v>Jaroslava</v>
      </c>
      <c r="E366" t="str">
        <f>TRIM(Tabulka1[[#This Row],[Příjmení]])</f>
        <v>Indrakova</v>
      </c>
      <c r="F366" s="2" t="str">
        <f>MID(Tabulka1[[#This Row],[Adresa]],1,SEARCH(",",Tabulka1[[#This Row],[Adresa]])-1)</f>
        <v>Jižní 1024</v>
      </c>
      <c r="G366" s="2" t="str">
        <f>RIGHT(Tabulka1[[#This Row],[Adresa]],LEN(Tabulka1[[#This Row],[Adresa]])-LEN(Tabulka1[[#This Row],[Ulice]])-1)</f>
        <v>Horice na Šumave</v>
      </c>
      <c r="H366" s="2" t="str">
        <f>_xlfn.CONCAT(LOWER(Tabulka1[[#This Row],[příjmení bez mezer]]),".",LOWER(Tabulka1[[#This Row],[Jmeno bez mezer]]),"@firmaabc.cz")</f>
        <v>indrakova.jaroslava@firmaabc.cz</v>
      </c>
      <c r="I366" s="2" t="str">
        <f>_xlfn.CONCAT(LOWER(LEFT(Tabulka1[[#This Row],[příjmení bez mezer]],3)),UPPER(RIGHT(Tabulka1[[#This Row],[Jmeno bez mezer]],2)))</f>
        <v>indVA</v>
      </c>
      <c r="J366" s="2" t="s">
        <v>1485</v>
      </c>
      <c r="K366" s="2" t="s">
        <v>1910</v>
      </c>
      <c r="L366" s="3" t="s">
        <v>2373</v>
      </c>
    </row>
    <row r="367" spans="1:12" ht="30" x14ac:dyDescent="0.25">
      <c r="A367" s="2" t="s">
        <v>832</v>
      </c>
      <c r="B367" t="s">
        <v>437</v>
      </c>
      <c r="C367" t="s">
        <v>833</v>
      </c>
      <c r="D367" t="str">
        <f>TRIM(Tabulka1[[#This Row],[Jméno]])</f>
        <v>Milena</v>
      </c>
      <c r="E367" t="str">
        <f>TRIM(Tabulka1[[#This Row],[Příjmení]])</f>
        <v>Hostalkova</v>
      </c>
      <c r="F367" s="2" t="str">
        <f>MID(Tabulka1[[#This Row],[Adresa]],1,SEARCH(",",Tabulka1[[#This Row],[Adresa]])-1)</f>
        <v>Vrchlického 1005</v>
      </c>
      <c r="G367" s="2" t="str">
        <f>RIGHT(Tabulka1[[#This Row],[Adresa]],LEN(Tabulka1[[#This Row],[Adresa]])-LEN(Tabulka1[[#This Row],[Ulice]])-1)</f>
        <v>Tišnov 1</v>
      </c>
      <c r="H367" s="2" t="str">
        <f>_xlfn.CONCAT(LOWER(Tabulka1[[#This Row],[příjmení bez mezer]]),".",LOWER(Tabulka1[[#This Row],[Jmeno bez mezer]]),"@firmaabc.cz")</f>
        <v>hostalkova.milena@firmaabc.cz</v>
      </c>
      <c r="I367" s="2" t="str">
        <f>_xlfn.CONCAT(LOWER(LEFT(Tabulka1[[#This Row],[příjmení bez mezer]],3)),UPPER(RIGHT(Tabulka1[[#This Row],[Jmeno bez mezer]],2)))</f>
        <v>hosNA</v>
      </c>
      <c r="J367" s="2" t="s">
        <v>1486</v>
      </c>
      <c r="K367" s="2" t="s">
        <v>1771</v>
      </c>
      <c r="L367" s="3" t="s">
        <v>2374</v>
      </c>
    </row>
    <row r="368" spans="1:12" ht="30" x14ac:dyDescent="0.25">
      <c r="A368" s="2" t="s">
        <v>834</v>
      </c>
      <c r="B368" t="s">
        <v>232</v>
      </c>
      <c r="C368" t="s">
        <v>835</v>
      </c>
      <c r="D368" t="str">
        <f>TRIM(Tabulka1[[#This Row],[Jméno]])</f>
        <v>Zdenek</v>
      </c>
      <c r="E368" t="str">
        <f>TRIM(Tabulka1[[#This Row],[Příjmení]])</f>
        <v>Svab</v>
      </c>
      <c r="F368" s="2" t="str">
        <f>MID(Tabulka1[[#This Row],[Adresa]],1,SEARCH(",",Tabulka1[[#This Row],[Adresa]])-1)</f>
        <v>Masarykova 516</v>
      </c>
      <c r="G368" s="2" t="str">
        <f>RIGHT(Tabulka1[[#This Row],[Adresa]],LEN(Tabulka1[[#This Row],[Adresa]])-LEN(Tabulka1[[#This Row],[Ulice]])-1)</f>
        <v>Žatec 1</v>
      </c>
      <c r="H368" s="2" t="str">
        <f>_xlfn.CONCAT(LOWER(Tabulka1[[#This Row],[příjmení bez mezer]]),".",LOWER(Tabulka1[[#This Row],[Jmeno bez mezer]]),"@firmaabc.cz")</f>
        <v>svab.zdenek@firmaabc.cz</v>
      </c>
      <c r="I368" s="2" t="str">
        <f>_xlfn.CONCAT(LOWER(LEFT(Tabulka1[[#This Row],[příjmení bez mezer]],3)),UPPER(RIGHT(Tabulka1[[#This Row],[Jmeno bez mezer]],2)))</f>
        <v>svaEK</v>
      </c>
      <c r="J368" s="2" t="s">
        <v>1487</v>
      </c>
      <c r="K368" s="2" t="s">
        <v>1911</v>
      </c>
      <c r="L368" s="3" t="s">
        <v>2375</v>
      </c>
    </row>
    <row r="369" spans="1:12" ht="30" x14ac:dyDescent="0.25">
      <c r="A369" s="2" t="s">
        <v>836</v>
      </c>
      <c r="B369" t="s">
        <v>61</v>
      </c>
      <c r="C369" t="s">
        <v>837</v>
      </c>
      <c r="D369" t="str">
        <f>TRIM(Tabulka1[[#This Row],[Jméno]])</f>
        <v>Dagmar</v>
      </c>
      <c r="E369" t="str">
        <f>TRIM(Tabulka1[[#This Row],[Příjmení]])</f>
        <v>Bockova</v>
      </c>
      <c r="F369" s="2" t="str">
        <f>MID(Tabulka1[[#This Row],[Adresa]],1,SEARCH(",",Tabulka1[[#This Row],[Adresa]])-1)</f>
        <v>Barákova 1285</v>
      </c>
      <c r="G369" s="2" t="str">
        <f>RIGHT(Tabulka1[[#This Row],[Adresa]],LEN(Tabulka1[[#This Row],[Adresa]])-LEN(Tabulka1[[#This Row],[Ulice]])-1)</f>
        <v>Odolena Voda</v>
      </c>
      <c r="H369" s="2" t="str">
        <f>_xlfn.CONCAT(LOWER(Tabulka1[[#This Row],[příjmení bez mezer]]),".",LOWER(Tabulka1[[#This Row],[Jmeno bez mezer]]),"@firmaabc.cz")</f>
        <v>bockova.dagmar@firmaabc.cz</v>
      </c>
      <c r="I369" s="2" t="str">
        <f>_xlfn.CONCAT(LOWER(LEFT(Tabulka1[[#This Row],[příjmení bez mezer]],3)),UPPER(RIGHT(Tabulka1[[#This Row],[Jmeno bez mezer]],2)))</f>
        <v>bocAR</v>
      </c>
      <c r="J369" s="2" t="s">
        <v>1488</v>
      </c>
      <c r="K369" s="2" t="s">
        <v>1912</v>
      </c>
      <c r="L369" s="3" t="s">
        <v>2376</v>
      </c>
    </row>
    <row r="370" spans="1:12" ht="30" x14ac:dyDescent="0.25">
      <c r="A370" s="2" t="s">
        <v>838</v>
      </c>
      <c r="B370" t="s">
        <v>70</v>
      </c>
      <c r="C370" t="s">
        <v>839</v>
      </c>
      <c r="D370" t="str">
        <f>TRIM(Tabulka1[[#This Row],[Jméno]])</f>
        <v>Jakub</v>
      </c>
      <c r="E370" t="str">
        <f>TRIM(Tabulka1[[#This Row],[Příjmení]])</f>
        <v>Tichy</v>
      </c>
      <c r="F370" s="2" t="str">
        <f>MID(Tabulka1[[#This Row],[Adresa]],1,SEARCH(",",Tabulka1[[#This Row],[Adresa]])-1)</f>
        <v>Suhrady 1234</v>
      </c>
      <c r="G370" s="2" t="str">
        <f>RIGHT(Tabulka1[[#This Row],[Adresa]],LEN(Tabulka1[[#This Row],[Adresa]])-LEN(Tabulka1[[#This Row],[Ulice]])-1)</f>
        <v>Opava 6</v>
      </c>
      <c r="H370" s="2" t="str">
        <f>_xlfn.CONCAT(LOWER(Tabulka1[[#This Row],[příjmení bez mezer]]),".",LOWER(Tabulka1[[#This Row],[Jmeno bez mezer]]),"@firmaabc.cz")</f>
        <v>tichy.jakub@firmaabc.cz</v>
      </c>
      <c r="I370" s="2" t="str">
        <f>_xlfn.CONCAT(LOWER(LEFT(Tabulka1[[#This Row],[příjmení bez mezer]],3)),UPPER(RIGHT(Tabulka1[[#This Row],[Jmeno bez mezer]],2)))</f>
        <v>ticUB</v>
      </c>
      <c r="J370" s="2" t="s">
        <v>1489</v>
      </c>
      <c r="K370" s="2" t="s">
        <v>1913</v>
      </c>
      <c r="L370" s="3" t="s">
        <v>2377</v>
      </c>
    </row>
    <row r="371" spans="1:12" ht="45" x14ac:dyDescent="0.25">
      <c r="A371" s="2" t="s">
        <v>840</v>
      </c>
      <c r="B371" t="s">
        <v>123</v>
      </c>
      <c r="C371" t="s">
        <v>841</v>
      </c>
      <c r="D371" t="str">
        <f>TRIM(Tabulka1[[#This Row],[Jméno]])</f>
        <v>Veronika</v>
      </c>
      <c r="E371" t="str">
        <f>TRIM(Tabulka1[[#This Row],[Příjmení]])</f>
        <v>Markova</v>
      </c>
      <c r="F371" s="2" t="str">
        <f>MID(Tabulka1[[#This Row],[Adresa]],1,SEARCH(",",Tabulka1[[#This Row],[Adresa]])-1)</f>
        <v>U Sokolovny 853</v>
      </c>
      <c r="G371" s="2" t="str">
        <f>RIGHT(Tabulka1[[#This Row],[Adresa]],LEN(Tabulka1[[#This Row],[Adresa]])-LEN(Tabulka1[[#This Row],[Ulice]])-1)</f>
        <v>Starý Bydžov</v>
      </c>
      <c r="H371" s="2" t="str">
        <f>_xlfn.CONCAT(LOWER(Tabulka1[[#This Row],[příjmení bez mezer]]),".",LOWER(Tabulka1[[#This Row],[Jmeno bez mezer]]),"@firmaabc.cz")</f>
        <v>markova.veronika@firmaabc.cz</v>
      </c>
      <c r="I371" s="2" t="str">
        <f>_xlfn.CONCAT(LOWER(LEFT(Tabulka1[[#This Row],[příjmení bez mezer]],3)),UPPER(RIGHT(Tabulka1[[#This Row],[Jmeno bez mezer]],2)))</f>
        <v>marKA</v>
      </c>
      <c r="J371" s="2" t="s">
        <v>1490</v>
      </c>
      <c r="K371" s="2" t="s">
        <v>1914</v>
      </c>
      <c r="L371" s="3" t="s">
        <v>2378</v>
      </c>
    </row>
    <row r="372" spans="1:12" ht="30" x14ac:dyDescent="0.25">
      <c r="A372" s="2" t="s">
        <v>842</v>
      </c>
      <c r="B372" t="s">
        <v>64</v>
      </c>
      <c r="C372" t="s">
        <v>843</v>
      </c>
      <c r="D372" t="str">
        <f>TRIM(Tabulka1[[#This Row],[Jméno]])</f>
        <v>Karel</v>
      </c>
      <c r="E372" t="str">
        <f>TRIM(Tabulka1[[#This Row],[Příjmení]])</f>
        <v>Marecek</v>
      </c>
      <c r="F372" s="2" t="str">
        <f>MID(Tabulka1[[#This Row],[Adresa]],1,SEARCH(",",Tabulka1[[#This Row],[Adresa]])-1)</f>
        <v>Nová 1651</v>
      </c>
      <c r="G372" s="2" t="str">
        <f>RIGHT(Tabulka1[[#This Row],[Adresa]],LEN(Tabulka1[[#This Row],[Adresa]])-LEN(Tabulka1[[#This Row],[Ulice]])-1)</f>
        <v>Nebužely</v>
      </c>
      <c r="H372" s="2" t="str">
        <f>_xlfn.CONCAT(LOWER(Tabulka1[[#This Row],[příjmení bez mezer]]),".",LOWER(Tabulka1[[#This Row],[Jmeno bez mezer]]),"@firmaabc.cz")</f>
        <v>marecek.karel@firmaabc.cz</v>
      </c>
      <c r="I372" s="2" t="str">
        <f>_xlfn.CONCAT(LOWER(LEFT(Tabulka1[[#This Row],[příjmení bez mezer]],3)),UPPER(RIGHT(Tabulka1[[#This Row],[Jmeno bez mezer]],2)))</f>
        <v>marEL</v>
      </c>
      <c r="J372" s="2" t="s">
        <v>1491</v>
      </c>
      <c r="K372" s="2" t="s">
        <v>1915</v>
      </c>
      <c r="L372" s="3" t="s">
        <v>2379</v>
      </c>
    </row>
    <row r="373" spans="1:12" ht="30" x14ac:dyDescent="0.25">
      <c r="A373" s="2" t="s">
        <v>844</v>
      </c>
      <c r="B373" t="s">
        <v>145</v>
      </c>
      <c r="C373" t="s">
        <v>845</v>
      </c>
      <c r="D373" t="str">
        <f>TRIM(Tabulka1[[#This Row],[Jméno]])</f>
        <v>Hana</v>
      </c>
      <c r="E373" t="str">
        <f>TRIM(Tabulka1[[#This Row],[Příjmení]])</f>
        <v>Vicherkova</v>
      </c>
      <c r="F373" s="2" t="str">
        <f>MID(Tabulka1[[#This Row],[Adresa]],1,SEARCH(",",Tabulka1[[#This Row],[Adresa]])-1)</f>
        <v>U divadla 813</v>
      </c>
      <c r="G373" s="2" t="str">
        <f>RIGHT(Tabulka1[[#This Row],[Adresa]],LEN(Tabulka1[[#This Row],[Adresa]])-LEN(Tabulka1[[#This Row],[Ulice]])-1)</f>
        <v>Chodouny</v>
      </c>
      <c r="H373" s="2" t="str">
        <f>_xlfn.CONCAT(LOWER(Tabulka1[[#This Row],[příjmení bez mezer]]),".",LOWER(Tabulka1[[#This Row],[Jmeno bez mezer]]),"@firmaabc.cz")</f>
        <v>vicherkova.hana@firmaabc.cz</v>
      </c>
      <c r="I373" s="2" t="str">
        <f>_xlfn.CONCAT(LOWER(LEFT(Tabulka1[[#This Row],[příjmení bez mezer]],3)),UPPER(RIGHT(Tabulka1[[#This Row],[Jmeno bez mezer]],2)))</f>
        <v>vicNA</v>
      </c>
      <c r="J373" s="2" t="s">
        <v>1492</v>
      </c>
      <c r="K373" s="2" t="s">
        <v>1916</v>
      </c>
      <c r="L373" s="3" t="s">
        <v>2380</v>
      </c>
    </row>
    <row r="374" spans="1:12" ht="30" x14ac:dyDescent="0.25">
      <c r="A374" s="2" t="s">
        <v>846</v>
      </c>
      <c r="B374" t="s">
        <v>847</v>
      </c>
      <c r="C374" t="s">
        <v>848</v>
      </c>
      <c r="D374" t="str">
        <f>TRIM(Tabulka1[[#This Row],[Jméno]])</f>
        <v>Nicole</v>
      </c>
      <c r="E374" t="str">
        <f>TRIM(Tabulka1[[#This Row],[Příjmení]])</f>
        <v>Svobodova</v>
      </c>
      <c r="F374" s="2" t="str">
        <f>MID(Tabulka1[[#This Row],[Adresa]],1,SEARCH(",",Tabulka1[[#This Row],[Adresa]])-1)</f>
        <v>Družstevní 1100</v>
      </c>
      <c r="G374" s="2" t="str">
        <f>RIGHT(Tabulka1[[#This Row],[Adresa]],LEN(Tabulka1[[#This Row],[Adresa]])-LEN(Tabulka1[[#This Row],[Ulice]])-1)</f>
        <v>Miroslav</v>
      </c>
      <c r="H374" s="2" t="str">
        <f>_xlfn.CONCAT(LOWER(Tabulka1[[#This Row],[příjmení bez mezer]]),".",LOWER(Tabulka1[[#This Row],[Jmeno bez mezer]]),"@firmaabc.cz")</f>
        <v>svobodova.nicole@firmaabc.cz</v>
      </c>
      <c r="I374" s="2" t="str">
        <f>_xlfn.CONCAT(LOWER(LEFT(Tabulka1[[#This Row],[příjmení bez mezer]],3)),UPPER(RIGHT(Tabulka1[[#This Row],[Jmeno bez mezer]],2)))</f>
        <v>svoLE</v>
      </c>
      <c r="J374" s="2" t="s">
        <v>1493</v>
      </c>
      <c r="K374" s="2" t="s">
        <v>79</v>
      </c>
      <c r="L374" s="3" t="s">
        <v>2381</v>
      </c>
    </row>
    <row r="375" spans="1:12" ht="30" x14ac:dyDescent="0.25">
      <c r="A375" s="2" t="s">
        <v>849</v>
      </c>
      <c r="B375" t="s">
        <v>850</v>
      </c>
      <c r="C375" t="s">
        <v>851</v>
      </c>
      <c r="D375" t="str">
        <f>TRIM(Tabulka1[[#This Row],[Jméno]])</f>
        <v>Ilona</v>
      </c>
      <c r="E375" t="str">
        <f>TRIM(Tabulka1[[#This Row],[Příjmení]])</f>
        <v>Conkova</v>
      </c>
      <c r="F375" s="2" t="str">
        <f>MID(Tabulka1[[#This Row],[Adresa]],1,SEARCH(",",Tabulka1[[#This Row],[Adresa]])-1)</f>
        <v>Komenského 529</v>
      </c>
      <c r="G375" s="2" t="str">
        <f>RIGHT(Tabulka1[[#This Row],[Adresa]],LEN(Tabulka1[[#This Row],[Adresa]])-LEN(Tabulka1[[#This Row],[Ulice]])-1)</f>
        <v>Telc</v>
      </c>
      <c r="H375" s="2" t="str">
        <f>_xlfn.CONCAT(LOWER(Tabulka1[[#This Row],[příjmení bez mezer]]),".",LOWER(Tabulka1[[#This Row],[Jmeno bez mezer]]),"@firmaabc.cz")</f>
        <v>conkova.ilona@firmaabc.cz</v>
      </c>
      <c r="I375" s="2" t="str">
        <f>_xlfn.CONCAT(LOWER(LEFT(Tabulka1[[#This Row],[příjmení bez mezer]],3)),UPPER(RIGHT(Tabulka1[[#This Row],[Jmeno bez mezer]],2)))</f>
        <v>conNA</v>
      </c>
      <c r="J375" s="2" t="s">
        <v>1494</v>
      </c>
      <c r="K375" s="2" t="s">
        <v>1917</v>
      </c>
      <c r="L375" s="3" t="s">
        <v>2382</v>
      </c>
    </row>
    <row r="376" spans="1:12" ht="45" x14ac:dyDescent="0.25">
      <c r="A376" s="2" t="s">
        <v>852</v>
      </c>
      <c r="B376" t="s">
        <v>113</v>
      </c>
      <c r="C376" t="s">
        <v>332</v>
      </c>
      <c r="D376" t="str">
        <f>TRIM(Tabulka1[[#This Row],[Jméno]])</f>
        <v>Jiri</v>
      </c>
      <c r="E376" t="str">
        <f>TRIM(Tabulka1[[#This Row],[Příjmení]])</f>
        <v>?Prochazka</v>
      </c>
      <c r="F376" s="2" t="str">
        <f>MID(Tabulka1[[#This Row],[Adresa]],1,SEARCH(",",Tabulka1[[#This Row],[Adresa]])-1)</f>
        <v>Bedřicha Smetany 1366</v>
      </c>
      <c r="G376" s="2" t="str">
        <f>RIGHT(Tabulka1[[#This Row],[Adresa]],LEN(Tabulka1[[#This Row],[Adresa]])-LEN(Tabulka1[[#This Row],[Ulice]])-1)</f>
        <v>Kutná Hora 1</v>
      </c>
      <c r="H376" s="2" t="str">
        <f>_xlfn.CONCAT(LOWER(Tabulka1[[#This Row],[příjmení bez mezer]]),".",LOWER(Tabulka1[[#This Row],[Jmeno bez mezer]]),"@firmaabc.cz")</f>
        <v>?prochazka.jiri@firmaabc.cz</v>
      </c>
      <c r="I376" s="2" t="str">
        <f>_xlfn.CONCAT(LOWER(LEFT(Tabulka1[[#This Row],[příjmení bez mezer]],3)),UPPER(RIGHT(Tabulka1[[#This Row],[Jmeno bez mezer]],2)))</f>
        <v>?prRI</v>
      </c>
      <c r="J376" s="2" t="s">
        <v>1495</v>
      </c>
      <c r="K376" s="2" t="s">
        <v>1918</v>
      </c>
      <c r="L376" s="3" t="s">
        <v>2383</v>
      </c>
    </row>
    <row r="377" spans="1:12" ht="45" x14ac:dyDescent="0.25">
      <c r="A377" s="2" t="s">
        <v>853</v>
      </c>
      <c r="B377" t="s">
        <v>854</v>
      </c>
      <c r="C377" t="s">
        <v>855</v>
      </c>
      <c r="D377" t="str">
        <f>TRIM(Tabulka1[[#This Row],[Jméno]])</f>
        <v>Vincenc</v>
      </c>
      <c r="E377" t="str">
        <f>TRIM(Tabulka1[[#This Row],[Příjmení]])</f>
        <v>Glaser</v>
      </c>
      <c r="F377" s="2" t="str">
        <f>MID(Tabulka1[[#This Row],[Adresa]],1,SEARCH(",",Tabulka1[[#This Row],[Adresa]])-1)</f>
        <v>Matiegkova 1504</v>
      </c>
      <c r="G377" s="2" t="str">
        <f>RIGHT(Tabulka1[[#This Row],[Adresa]],LEN(Tabulka1[[#This Row],[Adresa]])-LEN(Tabulka1[[#This Row],[Ulice]])-1)</f>
        <v>Týnec nad Sázavou</v>
      </c>
      <c r="H377" s="2" t="str">
        <f>_xlfn.CONCAT(LOWER(Tabulka1[[#This Row],[příjmení bez mezer]]),".",LOWER(Tabulka1[[#This Row],[Jmeno bez mezer]]),"@firmaabc.cz")</f>
        <v>glaser.vincenc@firmaabc.cz</v>
      </c>
      <c r="I377" s="2" t="str">
        <f>_xlfn.CONCAT(LOWER(LEFT(Tabulka1[[#This Row],[příjmení bez mezer]],3)),UPPER(RIGHT(Tabulka1[[#This Row],[Jmeno bez mezer]],2)))</f>
        <v>glaNC</v>
      </c>
      <c r="J377" s="2" t="s">
        <v>1496</v>
      </c>
      <c r="K377" s="2" t="s">
        <v>1919</v>
      </c>
      <c r="L377" s="3" t="s">
        <v>2384</v>
      </c>
    </row>
    <row r="378" spans="1:12" ht="45" x14ac:dyDescent="0.25">
      <c r="A378" s="2" t="s">
        <v>856</v>
      </c>
      <c r="B378" t="s">
        <v>546</v>
      </c>
      <c r="C378" t="s">
        <v>857</v>
      </c>
      <c r="D378" t="str">
        <f>TRIM(Tabulka1[[#This Row],[Jméno]])</f>
        <v>Ladislav</v>
      </c>
      <c r="E378" t="str">
        <f>TRIM(Tabulka1[[#This Row],[Příjmení]])</f>
        <v>Pospichal</v>
      </c>
      <c r="F378" s="2" t="str">
        <f>MID(Tabulka1[[#This Row],[Adresa]],1,SEARCH(",",Tabulka1[[#This Row],[Adresa]])-1)</f>
        <v>Za učilištěm 1056</v>
      </c>
      <c r="G378" s="2" t="str">
        <f>RIGHT(Tabulka1[[#This Row],[Adresa]],LEN(Tabulka1[[#This Row],[Adresa]])-LEN(Tabulka1[[#This Row],[Ulice]])-1)</f>
        <v>Dobrá</v>
      </c>
      <c r="H378" s="2" t="str">
        <f>_xlfn.CONCAT(LOWER(Tabulka1[[#This Row],[příjmení bez mezer]]),".",LOWER(Tabulka1[[#This Row],[Jmeno bez mezer]]),"@firmaabc.cz")</f>
        <v>pospichal.ladislav@firmaabc.cz</v>
      </c>
      <c r="I378" s="2" t="str">
        <f>_xlfn.CONCAT(LOWER(LEFT(Tabulka1[[#This Row],[příjmení bez mezer]],3)),UPPER(RIGHT(Tabulka1[[#This Row],[Jmeno bez mezer]],2)))</f>
        <v>posAV</v>
      </c>
      <c r="J378" s="2" t="s">
        <v>1497</v>
      </c>
      <c r="K378" s="2" t="s">
        <v>1730</v>
      </c>
      <c r="L378" s="3" t="s">
        <v>2385</v>
      </c>
    </row>
    <row r="379" spans="1:12" ht="30" x14ac:dyDescent="0.25">
      <c r="A379" s="2" t="s">
        <v>858</v>
      </c>
      <c r="B379" t="s">
        <v>30</v>
      </c>
      <c r="C379" t="s">
        <v>859</v>
      </c>
      <c r="D379" t="str">
        <f>TRIM(Tabulka1[[#This Row],[Jméno]])</f>
        <v>Michal</v>
      </c>
      <c r="E379" t="str">
        <f>TRIM(Tabulka1[[#This Row],[Příjmení]])</f>
        <v>Brejcha</v>
      </c>
      <c r="F379" s="2" t="str">
        <f>MID(Tabulka1[[#This Row],[Adresa]],1,SEARCH(",",Tabulka1[[#This Row],[Adresa]])-1)</f>
        <v>Matiegkova 611</v>
      </c>
      <c r="G379" s="2" t="str">
        <f>RIGHT(Tabulka1[[#This Row],[Adresa]],LEN(Tabulka1[[#This Row],[Adresa]])-LEN(Tabulka1[[#This Row],[Ulice]])-1)</f>
        <v>Krhanice</v>
      </c>
      <c r="H379" s="2" t="str">
        <f>_xlfn.CONCAT(LOWER(Tabulka1[[#This Row],[příjmení bez mezer]]),".",LOWER(Tabulka1[[#This Row],[Jmeno bez mezer]]),"@firmaabc.cz")</f>
        <v>brejcha.michal@firmaabc.cz</v>
      </c>
      <c r="I379" s="2" t="str">
        <f>_xlfn.CONCAT(LOWER(LEFT(Tabulka1[[#This Row],[příjmení bez mezer]],3)),UPPER(RIGHT(Tabulka1[[#This Row],[Jmeno bez mezer]],2)))</f>
        <v>breAL</v>
      </c>
      <c r="J379" s="2" t="s">
        <v>1498</v>
      </c>
      <c r="K379" s="2" t="s">
        <v>1920</v>
      </c>
      <c r="L379" s="3" t="s">
        <v>2386</v>
      </c>
    </row>
    <row r="380" spans="1:12" ht="90" x14ac:dyDescent="0.25">
      <c r="A380" s="2" t="s">
        <v>860</v>
      </c>
      <c r="B380" t="s">
        <v>861</v>
      </c>
      <c r="C380" t="s">
        <v>862</v>
      </c>
      <c r="D380" t="str">
        <f>TRIM(Tabulka1[[#This Row],[Jméno]])</f>
        <v>Janina</v>
      </c>
      <c r="E380" t="str">
        <f>TRIM(Tabulka1[[#This Row],[Příjmení]])</f>
        <v>Dvorakova</v>
      </c>
      <c r="F380" s="2" t="str">
        <f>MID(Tabulka1[[#This Row],[Adresa]],1,SEARCH(",",Tabulka1[[#This Row],[Adresa]])-1)</f>
        <v>Dobrovského 427</v>
      </c>
      <c r="G380" s="2" t="str">
        <f>RIGHT(Tabulka1[[#This Row],[Adresa]],LEN(Tabulka1[[#This Row],[Adresa]])-LEN(Tabulka1[[#This Row],[Ulice]])-1)</f>
        <v>Olbramovice u Moravského Krumlova</v>
      </c>
      <c r="H380" s="2" t="str">
        <f>_xlfn.CONCAT(LOWER(Tabulka1[[#This Row],[příjmení bez mezer]]),".",LOWER(Tabulka1[[#This Row],[Jmeno bez mezer]]),"@firmaabc.cz")</f>
        <v>dvorakova.janina@firmaabc.cz</v>
      </c>
      <c r="I380" s="2" t="str">
        <f>_xlfn.CONCAT(LOWER(LEFT(Tabulka1[[#This Row],[příjmení bez mezer]],3)),UPPER(RIGHT(Tabulka1[[#This Row],[Jmeno bez mezer]],2)))</f>
        <v>dvoNA</v>
      </c>
      <c r="J380" s="2" t="s">
        <v>1499</v>
      </c>
      <c r="K380" s="2" t="s">
        <v>1921</v>
      </c>
      <c r="L380" s="3" t="s">
        <v>2387</v>
      </c>
    </row>
    <row r="381" spans="1:12" ht="30" x14ac:dyDescent="0.25">
      <c r="A381" s="2" t="s">
        <v>863</v>
      </c>
      <c r="B381" t="s">
        <v>160</v>
      </c>
      <c r="C381" t="s">
        <v>864</v>
      </c>
      <c r="D381" t="str">
        <f>TRIM(Tabulka1[[#This Row],[Jméno]])</f>
        <v>Jaroslava</v>
      </c>
      <c r="E381" t="str">
        <f>TRIM(Tabulka1[[#This Row],[Příjmení]])</f>
        <v>Kourilova</v>
      </c>
      <c r="F381" s="2" t="str">
        <f>MID(Tabulka1[[#This Row],[Adresa]],1,SEARCH(",",Tabulka1[[#This Row],[Adresa]])-1)</f>
        <v>Sokolská 216</v>
      </c>
      <c r="G381" s="2" t="str">
        <f>RIGHT(Tabulka1[[#This Row],[Adresa]],LEN(Tabulka1[[#This Row],[Adresa]])-LEN(Tabulka1[[#This Row],[Ulice]])-1)</f>
        <v>Unicov 1</v>
      </c>
      <c r="H381" s="2" t="str">
        <f>_xlfn.CONCAT(LOWER(Tabulka1[[#This Row],[příjmení bez mezer]]),".",LOWER(Tabulka1[[#This Row],[Jmeno bez mezer]]),"@firmaabc.cz")</f>
        <v>kourilova.jaroslava@firmaabc.cz</v>
      </c>
      <c r="I381" s="2" t="str">
        <f>_xlfn.CONCAT(LOWER(LEFT(Tabulka1[[#This Row],[příjmení bez mezer]],3)),UPPER(RIGHT(Tabulka1[[#This Row],[Jmeno bez mezer]],2)))</f>
        <v>kouVA</v>
      </c>
      <c r="J381" s="2" t="s">
        <v>1500</v>
      </c>
      <c r="K381" s="2" t="s">
        <v>1922</v>
      </c>
      <c r="L381" s="3" t="s">
        <v>2388</v>
      </c>
    </row>
    <row r="382" spans="1:12" ht="30" x14ac:dyDescent="0.25">
      <c r="A382" s="2" t="s">
        <v>865</v>
      </c>
      <c r="B382" t="s">
        <v>866</v>
      </c>
      <c r="C382" t="s">
        <v>867</v>
      </c>
      <c r="D382" t="str">
        <f>TRIM(Tabulka1[[#This Row],[Jméno]])</f>
        <v>Michael</v>
      </c>
      <c r="E382" t="str">
        <f>TRIM(Tabulka1[[#This Row],[Příjmení]])</f>
        <v>Zika</v>
      </c>
      <c r="F382" s="2" t="str">
        <f>MID(Tabulka1[[#This Row],[Adresa]],1,SEARCH(",",Tabulka1[[#This Row],[Adresa]])-1)</f>
        <v>Strojírenská 22</v>
      </c>
      <c r="G382" s="2" t="str">
        <f>RIGHT(Tabulka1[[#This Row],[Adresa]],LEN(Tabulka1[[#This Row],[Adresa]])-LEN(Tabulka1[[#This Row],[Ulice]])-1)</f>
        <v>Nížkov</v>
      </c>
      <c r="H382" s="2" t="str">
        <f>_xlfn.CONCAT(LOWER(Tabulka1[[#This Row],[příjmení bez mezer]]),".",LOWER(Tabulka1[[#This Row],[Jmeno bez mezer]]),"@firmaabc.cz")</f>
        <v>zika.michael@firmaabc.cz</v>
      </c>
      <c r="I382" s="2" t="str">
        <f>_xlfn.CONCAT(LOWER(LEFT(Tabulka1[[#This Row],[příjmení bez mezer]],3)),UPPER(RIGHT(Tabulka1[[#This Row],[Jmeno bez mezer]],2)))</f>
        <v>zikEL</v>
      </c>
      <c r="J382" s="2" t="s">
        <v>1501</v>
      </c>
      <c r="K382" s="2" t="s">
        <v>1923</v>
      </c>
      <c r="L382" s="3" t="s">
        <v>2389</v>
      </c>
    </row>
    <row r="383" spans="1:12" x14ac:dyDescent="0.25">
      <c r="A383" s="2" t="s">
        <v>868</v>
      </c>
      <c r="B383" t="s">
        <v>869</v>
      </c>
      <c r="C383" t="s">
        <v>870</v>
      </c>
      <c r="D383" t="str">
        <f>TRIM(Tabulka1[[#This Row],[Jméno]])</f>
        <v>Jaromir</v>
      </c>
      <c r="E383" t="str">
        <f>TRIM(Tabulka1[[#This Row],[Příjmení]])</f>
        <v>Hruby</v>
      </c>
      <c r="F383" s="2" t="str">
        <f>MID(Tabulka1[[#This Row],[Adresa]],1,SEARCH(",",Tabulka1[[#This Row],[Adresa]])-1)</f>
        <v>Mírová 472</v>
      </c>
      <c r="G383" s="2" t="str">
        <f>RIGHT(Tabulka1[[#This Row],[Adresa]],LEN(Tabulka1[[#This Row],[Adresa]])-LEN(Tabulka1[[#This Row],[Ulice]])-1)</f>
        <v>Bobrová</v>
      </c>
      <c r="H383" s="2" t="str">
        <f>_xlfn.CONCAT(LOWER(Tabulka1[[#This Row],[příjmení bez mezer]]),".",LOWER(Tabulka1[[#This Row],[Jmeno bez mezer]]),"@firmaabc.cz")</f>
        <v>hruby.jaromir@firmaabc.cz</v>
      </c>
      <c r="I383" s="2" t="str">
        <f>_xlfn.CONCAT(LOWER(LEFT(Tabulka1[[#This Row],[příjmení bez mezer]],3)),UPPER(RIGHT(Tabulka1[[#This Row],[Jmeno bez mezer]],2)))</f>
        <v>hruIR</v>
      </c>
      <c r="J383" s="2" t="s">
        <v>1502</v>
      </c>
      <c r="K383" s="2" t="s">
        <v>1759</v>
      </c>
      <c r="L383" s="3" t="s">
        <v>2390</v>
      </c>
    </row>
    <row r="384" spans="1:12" ht="30" x14ac:dyDescent="0.25">
      <c r="A384" s="2" t="s">
        <v>871</v>
      </c>
      <c r="B384" t="s">
        <v>148</v>
      </c>
      <c r="C384" t="s">
        <v>872</v>
      </c>
      <c r="D384" t="str">
        <f>TRIM(Tabulka1[[#This Row],[Jméno]])</f>
        <v>Josef</v>
      </c>
      <c r="E384" t="str">
        <f>TRIM(Tabulka1[[#This Row],[Příjmení]])</f>
        <v>Bolek</v>
      </c>
      <c r="F384" s="2" t="str">
        <f>MID(Tabulka1[[#This Row],[Adresa]],1,SEARCH(",",Tabulka1[[#This Row],[Adresa]])-1)</f>
        <v>Pod Strání 1435</v>
      </c>
      <c r="G384" s="2" t="str">
        <f>RIGHT(Tabulka1[[#This Row],[Adresa]],LEN(Tabulka1[[#This Row],[Adresa]])-LEN(Tabulka1[[#This Row],[Ulice]])-1)</f>
        <v>Hostinné</v>
      </c>
      <c r="H384" s="2" t="str">
        <f>_xlfn.CONCAT(LOWER(Tabulka1[[#This Row],[příjmení bez mezer]]),".",LOWER(Tabulka1[[#This Row],[Jmeno bez mezer]]),"@firmaabc.cz")</f>
        <v>bolek.josef@firmaabc.cz</v>
      </c>
      <c r="I384" s="2" t="str">
        <f>_xlfn.CONCAT(LOWER(LEFT(Tabulka1[[#This Row],[příjmení bez mezer]],3)),UPPER(RIGHT(Tabulka1[[#This Row],[Jmeno bez mezer]],2)))</f>
        <v>bolEF</v>
      </c>
      <c r="J384" s="2" t="s">
        <v>1503</v>
      </c>
      <c r="K384" s="2" t="s">
        <v>1679</v>
      </c>
      <c r="L384" s="3" t="s">
        <v>2391</v>
      </c>
    </row>
    <row r="385" spans="1:12" ht="30" x14ac:dyDescent="0.25">
      <c r="A385" s="2" t="s">
        <v>873</v>
      </c>
      <c r="B385" t="s">
        <v>410</v>
      </c>
      <c r="C385" t="s">
        <v>837</v>
      </c>
      <c r="D385" t="str">
        <f>TRIM(Tabulka1[[#This Row],[Jméno]])</f>
        <v>Michaela</v>
      </c>
      <c r="E385" t="str">
        <f>TRIM(Tabulka1[[#This Row],[Příjmení]])</f>
        <v>Bockova</v>
      </c>
      <c r="F385" s="2" t="str">
        <f>MID(Tabulka1[[#This Row],[Adresa]],1,SEARCH(",",Tabulka1[[#This Row],[Adresa]])-1)</f>
        <v>Alšova 1620</v>
      </c>
      <c r="G385" s="2" t="str">
        <f>RIGHT(Tabulka1[[#This Row],[Adresa]],LEN(Tabulka1[[#This Row],[Adresa]])-LEN(Tabulka1[[#This Row],[Ulice]])-1)</f>
        <v>Protivín</v>
      </c>
      <c r="H385" s="2" t="str">
        <f>_xlfn.CONCAT(LOWER(Tabulka1[[#This Row],[příjmení bez mezer]]),".",LOWER(Tabulka1[[#This Row],[Jmeno bez mezer]]),"@firmaabc.cz")</f>
        <v>bockova.michaela@firmaabc.cz</v>
      </c>
      <c r="I385" s="2" t="str">
        <f>_xlfn.CONCAT(LOWER(LEFT(Tabulka1[[#This Row],[příjmení bez mezer]],3)),UPPER(RIGHT(Tabulka1[[#This Row],[Jmeno bez mezer]],2)))</f>
        <v>bocLA</v>
      </c>
      <c r="J385" s="2" t="s">
        <v>1504</v>
      </c>
      <c r="K385" s="2" t="s">
        <v>1909</v>
      </c>
      <c r="L385" s="3" t="s">
        <v>2392</v>
      </c>
    </row>
    <row r="386" spans="1:12" ht="45" x14ac:dyDescent="0.25">
      <c r="A386" s="2" t="s">
        <v>874</v>
      </c>
      <c r="B386" t="s">
        <v>148</v>
      </c>
      <c r="C386" t="s">
        <v>875</v>
      </c>
      <c r="D386" t="str">
        <f>TRIM(Tabulka1[[#This Row],[Jméno]])</f>
        <v>Josef</v>
      </c>
      <c r="E386" t="str">
        <f>TRIM(Tabulka1[[#This Row],[Příjmení]])</f>
        <v>Homolka</v>
      </c>
      <c r="F386" s="2" t="str">
        <f>MID(Tabulka1[[#This Row],[Adresa]],1,SEARCH(",",Tabulka1[[#This Row],[Adresa]])-1)</f>
        <v>Marie Kudeříkové 1580</v>
      </c>
      <c r="G386" s="2" t="str">
        <f>RIGHT(Tabulka1[[#This Row],[Adresa]],LEN(Tabulka1[[#This Row],[Adresa]])-LEN(Tabulka1[[#This Row],[Ulice]])-1)</f>
        <v>Úpice</v>
      </c>
      <c r="H386" s="2" t="str">
        <f>_xlfn.CONCAT(LOWER(Tabulka1[[#This Row],[příjmení bez mezer]]),".",LOWER(Tabulka1[[#This Row],[Jmeno bez mezer]]),"@firmaabc.cz")</f>
        <v>homolka.josef@firmaabc.cz</v>
      </c>
      <c r="I386" s="2" t="str">
        <f>_xlfn.CONCAT(LOWER(LEFT(Tabulka1[[#This Row],[příjmení bez mezer]],3)),UPPER(RIGHT(Tabulka1[[#This Row],[Jmeno bez mezer]],2)))</f>
        <v>homEF</v>
      </c>
      <c r="J386" s="2" t="s">
        <v>1505</v>
      </c>
      <c r="K386" s="2" t="s">
        <v>1924</v>
      </c>
      <c r="L386" s="3" t="s">
        <v>2393</v>
      </c>
    </row>
    <row r="387" spans="1:12" ht="45" x14ac:dyDescent="0.25">
      <c r="A387" s="2" t="s">
        <v>876</v>
      </c>
      <c r="B387" t="s">
        <v>61</v>
      </c>
      <c r="C387" t="s">
        <v>877</v>
      </c>
      <c r="D387" t="str">
        <f>TRIM(Tabulka1[[#This Row],[Jméno]])</f>
        <v>Dagmar</v>
      </c>
      <c r="E387" t="str">
        <f>TRIM(Tabulka1[[#This Row],[Příjmení]])</f>
        <v>Duskova</v>
      </c>
      <c r="F387" s="2" t="str">
        <f>MID(Tabulka1[[#This Row],[Adresa]],1,SEARCH(",",Tabulka1[[#This Row],[Adresa]])-1)</f>
        <v>Strojírenská 731</v>
      </c>
      <c r="G387" s="2" t="str">
        <f>RIGHT(Tabulka1[[#This Row],[Adresa]],LEN(Tabulka1[[#This Row],[Adresa]])-LEN(Tabulka1[[#This Row],[Ulice]])-1)</f>
        <v>Ždár nad Sázavou 2</v>
      </c>
      <c r="H387" s="2" t="str">
        <f>_xlfn.CONCAT(LOWER(Tabulka1[[#This Row],[příjmení bez mezer]]),".",LOWER(Tabulka1[[#This Row],[Jmeno bez mezer]]),"@firmaabc.cz")</f>
        <v>duskova.dagmar@firmaabc.cz</v>
      </c>
      <c r="I387" s="2" t="str">
        <f>_xlfn.CONCAT(LOWER(LEFT(Tabulka1[[#This Row],[příjmení bez mezer]],3)),UPPER(RIGHT(Tabulka1[[#This Row],[Jmeno bez mezer]],2)))</f>
        <v>dusAR</v>
      </c>
      <c r="J387" s="2" t="s">
        <v>1506</v>
      </c>
      <c r="K387" s="2" t="s">
        <v>1900</v>
      </c>
      <c r="L387" s="3" t="s">
        <v>2394</v>
      </c>
    </row>
    <row r="388" spans="1:12" ht="30" x14ac:dyDescent="0.25">
      <c r="A388" s="2" t="s">
        <v>878</v>
      </c>
      <c r="B388" t="s">
        <v>603</v>
      </c>
      <c r="C388" t="s">
        <v>879</v>
      </c>
      <c r="D388" t="str">
        <f>TRIM(Tabulka1[[#This Row],[Jméno]])</f>
        <v>Viktorie</v>
      </c>
      <c r="E388" t="str">
        <f>TRIM(Tabulka1[[#This Row],[Příjmení]])</f>
        <v>Krusinova</v>
      </c>
      <c r="F388" s="2" t="str">
        <f>MID(Tabulka1[[#This Row],[Adresa]],1,SEARCH(",",Tabulka1[[#This Row],[Adresa]])-1)</f>
        <v>Teperova 578</v>
      </c>
      <c r="G388" s="2" t="str">
        <f>RIGHT(Tabulka1[[#This Row],[Adresa]],LEN(Tabulka1[[#This Row],[Adresa]])-LEN(Tabulka1[[#This Row],[Ulice]])-1)</f>
        <v>Želešice</v>
      </c>
      <c r="H388" s="2" t="str">
        <f>_xlfn.CONCAT(LOWER(Tabulka1[[#This Row],[příjmení bez mezer]]),".",LOWER(Tabulka1[[#This Row],[Jmeno bez mezer]]),"@firmaabc.cz")</f>
        <v>krusinova.viktorie@firmaabc.cz</v>
      </c>
      <c r="I388" s="2" t="str">
        <f>_xlfn.CONCAT(LOWER(LEFT(Tabulka1[[#This Row],[příjmení bez mezer]],3)),UPPER(RIGHT(Tabulka1[[#This Row],[Jmeno bez mezer]],2)))</f>
        <v>kruIE</v>
      </c>
      <c r="J388" s="2" t="s">
        <v>1507</v>
      </c>
      <c r="K388" s="2" t="s">
        <v>1925</v>
      </c>
      <c r="L388" s="3" t="s">
        <v>2395</v>
      </c>
    </row>
    <row r="389" spans="1:12" ht="30" x14ac:dyDescent="0.25">
      <c r="A389" s="2" t="s">
        <v>880</v>
      </c>
      <c r="B389" t="s">
        <v>79</v>
      </c>
      <c r="C389" t="s">
        <v>881</v>
      </c>
      <c r="D389" t="str">
        <f>TRIM(Tabulka1[[#This Row],[Jméno]])</f>
        <v>Miroslav</v>
      </c>
      <c r="E389" t="str">
        <f>TRIM(Tabulka1[[#This Row],[Příjmení]])</f>
        <v>Ondruch</v>
      </c>
      <c r="F389" s="2" t="str">
        <f>MID(Tabulka1[[#This Row],[Adresa]],1,SEARCH(",",Tabulka1[[#This Row],[Adresa]])-1)</f>
        <v>Alšova 1908</v>
      </c>
      <c r="G389" s="2" t="str">
        <f>RIGHT(Tabulka1[[#This Row],[Adresa]],LEN(Tabulka1[[#This Row],[Adresa]])-LEN(Tabulka1[[#This Row],[Ulice]])-1)</f>
        <v>Písek 1</v>
      </c>
      <c r="H389" s="2" t="str">
        <f>_xlfn.CONCAT(LOWER(Tabulka1[[#This Row],[příjmení bez mezer]]),".",LOWER(Tabulka1[[#This Row],[Jmeno bez mezer]]),"@firmaabc.cz")</f>
        <v>ondruch.miroslav@firmaabc.cz</v>
      </c>
      <c r="I389" s="2" t="str">
        <f>_xlfn.CONCAT(LOWER(LEFT(Tabulka1[[#This Row],[příjmení bez mezer]],3)),UPPER(RIGHT(Tabulka1[[#This Row],[Jmeno bez mezer]],2)))</f>
        <v>ondAV</v>
      </c>
      <c r="J389" s="2" t="s">
        <v>1508</v>
      </c>
      <c r="K389" s="2" t="s">
        <v>1926</v>
      </c>
      <c r="L389" s="3" t="s">
        <v>2396</v>
      </c>
    </row>
    <row r="390" spans="1:12" ht="45" x14ac:dyDescent="0.25">
      <c r="A390" s="2" t="s">
        <v>882</v>
      </c>
      <c r="B390" t="s">
        <v>189</v>
      </c>
      <c r="C390" t="s">
        <v>883</v>
      </c>
      <c r="D390" t="str">
        <f>TRIM(Tabulka1[[#This Row],[Jméno]])</f>
        <v>Jana</v>
      </c>
      <c r="E390" t="str">
        <f>TRIM(Tabulka1[[#This Row],[Příjmení]])</f>
        <v>Ederova</v>
      </c>
      <c r="F390" s="2" t="str">
        <f>MID(Tabulka1[[#This Row],[Adresa]],1,SEARCH(",",Tabulka1[[#This Row],[Adresa]])-1)</f>
        <v>Úzká 134</v>
      </c>
      <c r="G390" s="2" t="str">
        <f>RIGHT(Tabulka1[[#This Row],[Adresa]],LEN(Tabulka1[[#This Row],[Adresa]])-LEN(Tabulka1[[#This Row],[Ulice]])-1)</f>
        <v>Dolní Dunajovice</v>
      </c>
      <c r="H390" s="2" t="str">
        <f>_xlfn.CONCAT(LOWER(Tabulka1[[#This Row],[příjmení bez mezer]]),".",LOWER(Tabulka1[[#This Row],[Jmeno bez mezer]]),"@firmaabc.cz")</f>
        <v>ederova.jana@firmaabc.cz</v>
      </c>
      <c r="I390" s="2" t="str">
        <f>_xlfn.CONCAT(LOWER(LEFT(Tabulka1[[#This Row],[příjmení bez mezer]],3)),UPPER(RIGHT(Tabulka1[[#This Row],[Jmeno bez mezer]],2)))</f>
        <v>edeNA</v>
      </c>
      <c r="J390" s="2" t="s">
        <v>1509</v>
      </c>
      <c r="K390" s="2" t="s">
        <v>1927</v>
      </c>
      <c r="L390" s="3" t="s">
        <v>2397</v>
      </c>
    </row>
    <row r="391" spans="1:12" ht="45" x14ac:dyDescent="0.25">
      <c r="A391" s="2" t="s">
        <v>884</v>
      </c>
      <c r="B391" t="s">
        <v>861</v>
      </c>
      <c r="C391" t="s">
        <v>885</v>
      </c>
      <c r="D391" t="str">
        <f>TRIM(Tabulka1[[#This Row],[Jméno]])</f>
        <v>Janina</v>
      </c>
      <c r="E391" t="str">
        <f>TRIM(Tabulka1[[#This Row],[Příjmení]])</f>
        <v>Silhankova</v>
      </c>
      <c r="F391" s="2" t="str">
        <f>MID(Tabulka1[[#This Row],[Adresa]],1,SEARCH(",",Tabulka1[[#This Row],[Adresa]])-1)</f>
        <v>Na Kopečku 932</v>
      </c>
      <c r="G391" s="2" t="str">
        <f>RIGHT(Tabulka1[[#This Row],[Adresa]],LEN(Tabulka1[[#This Row],[Adresa]])-LEN(Tabulka1[[#This Row],[Ulice]])-1)</f>
        <v>Stežery</v>
      </c>
      <c r="H391" s="2" t="str">
        <f>_xlfn.CONCAT(LOWER(Tabulka1[[#This Row],[příjmení bez mezer]]),".",LOWER(Tabulka1[[#This Row],[Jmeno bez mezer]]),"@firmaabc.cz")</f>
        <v>silhankova.janina@firmaabc.cz</v>
      </c>
      <c r="I391" s="2" t="str">
        <f>_xlfn.CONCAT(LOWER(LEFT(Tabulka1[[#This Row],[příjmení bez mezer]],3)),UPPER(RIGHT(Tabulka1[[#This Row],[Jmeno bez mezer]],2)))</f>
        <v>silNA</v>
      </c>
      <c r="J391" s="2" t="s">
        <v>1510</v>
      </c>
      <c r="K391" s="2" t="s">
        <v>1928</v>
      </c>
      <c r="L391" s="3" t="s">
        <v>2398</v>
      </c>
    </row>
    <row r="392" spans="1:12" ht="30" x14ac:dyDescent="0.25">
      <c r="A392" s="2" t="s">
        <v>886</v>
      </c>
      <c r="B392" t="s">
        <v>887</v>
      </c>
      <c r="C392" t="s">
        <v>888</v>
      </c>
      <c r="D392" t="str">
        <f>TRIM(Tabulka1[[#This Row],[Jméno]])</f>
        <v>Dusan</v>
      </c>
      <c r="E392" t="str">
        <f>TRIM(Tabulka1[[#This Row],[Příjmení]])</f>
        <v>Fabian</v>
      </c>
      <c r="F392" s="2" t="str">
        <f>MID(Tabulka1[[#This Row],[Adresa]],1,SEARCH(",",Tabulka1[[#This Row],[Adresa]])-1)</f>
        <v>Poštovní 1046</v>
      </c>
      <c r="G392" s="2" t="str">
        <f>RIGHT(Tabulka1[[#This Row],[Adresa]],LEN(Tabulka1[[#This Row],[Adresa]])-LEN(Tabulka1[[#This Row],[Ulice]])-1)</f>
        <v>Skalsko</v>
      </c>
      <c r="H392" s="2" t="str">
        <f>_xlfn.CONCAT(LOWER(Tabulka1[[#This Row],[příjmení bez mezer]]),".",LOWER(Tabulka1[[#This Row],[Jmeno bez mezer]]),"@firmaabc.cz")</f>
        <v>fabian.dusan@firmaabc.cz</v>
      </c>
      <c r="I392" s="2" t="str">
        <f>_xlfn.CONCAT(LOWER(LEFT(Tabulka1[[#This Row],[příjmení bez mezer]],3)),UPPER(RIGHT(Tabulka1[[#This Row],[Jmeno bez mezer]],2)))</f>
        <v>fabAN</v>
      </c>
      <c r="J392" s="2" t="s">
        <v>1511</v>
      </c>
      <c r="K392" s="2" t="s">
        <v>1803</v>
      </c>
      <c r="L392" s="3" t="s">
        <v>2399</v>
      </c>
    </row>
    <row r="393" spans="1:12" ht="30" x14ac:dyDescent="0.25">
      <c r="A393" s="2" t="s">
        <v>889</v>
      </c>
      <c r="B393" t="s">
        <v>890</v>
      </c>
      <c r="C393" t="s">
        <v>891</v>
      </c>
      <c r="D393" t="str">
        <f>TRIM(Tabulka1[[#This Row],[Jméno]])</f>
        <v>Jindrich</v>
      </c>
      <c r="E393" t="str">
        <f>TRIM(Tabulka1[[#This Row],[Příjmení]])</f>
        <v>Popelka</v>
      </c>
      <c r="F393" s="2" t="str">
        <f>MID(Tabulka1[[#This Row],[Adresa]],1,SEARCH(",",Tabulka1[[#This Row],[Adresa]])-1)</f>
        <v>Budovatelská 1027</v>
      </c>
      <c r="G393" s="2" t="str">
        <f>RIGHT(Tabulka1[[#This Row],[Adresa]],LEN(Tabulka1[[#This Row],[Adresa]])-LEN(Tabulka1[[#This Row],[Ulice]])-1)</f>
        <v>Záborí u Blatné</v>
      </c>
      <c r="H393" s="2" t="str">
        <f>_xlfn.CONCAT(LOWER(Tabulka1[[#This Row],[příjmení bez mezer]]),".",LOWER(Tabulka1[[#This Row],[Jmeno bez mezer]]),"@firmaabc.cz")</f>
        <v>popelka.jindrich@firmaabc.cz</v>
      </c>
      <c r="I393" s="2" t="str">
        <f>_xlfn.CONCAT(LOWER(LEFT(Tabulka1[[#This Row],[příjmení bez mezer]],3)),UPPER(RIGHT(Tabulka1[[#This Row],[Jmeno bez mezer]],2)))</f>
        <v>popCH</v>
      </c>
      <c r="J393" s="2" t="s">
        <v>1512</v>
      </c>
      <c r="K393" s="2" t="s">
        <v>1929</v>
      </c>
      <c r="L393" s="3" t="s">
        <v>2400</v>
      </c>
    </row>
    <row r="394" spans="1:12" x14ac:dyDescent="0.25">
      <c r="A394" s="2" t="s">
        <v>892</v>
      </c>
      <c r="B394" t="s">
        <v>308</v>
      </c>
      <c r="C394" t="s">
        <v>893</v>
      </c>
      <c r="D394" t="str">
        <f>TRIM(Tabulka1[[#This Row],[Jméno]])</f>
        <v>Stanislav</v>
      </c>
      <c r="E394" t="str">
        <f>TRIM(Tabulka1[[#This Row],[Příjmení]])</f>
        <v>Bednar</v>
      </c>
      <c r="F394" s="2" t="str">
        <f>MID(Tabulka1[[#This Row],[Adresa]],1,SEARCH(",",Tabulka1[[#This Row],[Adresa]])-1)</f>
        <v>Školní 1837</v>
      </c>
      <c r="G394" s="2" t="str">
        <f>RIGHT(Tabulka1[[#This Row],[Adresa]],LEN(Tabulka1[[#This Row],[Adresa]])-LEN(Tabulka1[[#This Row],[Ulice]])-1)</f>
        <v>Rynárec</v>
      </c>
      <c r="H394" s="2" t="str">
        <f>_xlfn.CONCAT(LOWER(Tabulka1[[#This Row],[příjmení bez mezer]]),".",LOWER(Tabulka1[[#This Row],[Jmeno bez mezer]]),"@firmaabc.cz")</f>
        <v>bednar.stanislav@firmaabc.cz</v>
      </c>
      <c r="I394" s="2" t="str">
        <f>_xlfn.CONCAT(LOWER(LEFT(Tabulka1[[#This Row],[příjmení bez mezer]],3)),UPPER(RIGHT(Tabulka1[[#This Row],[Jmeno bez mezer]],2)))</f>
        <v>bedAV</v>
      </c>
      <c r="J394" s="2" t="s">
        <v>1513</v>
      </c>
      <c r="K394" s="2" t="s">
        <v>1930</v>
      </c>
      <c r="L394" s="3" t="s">
        <v>2401</v>
      </c>
    </row>
    <row r="395" spans="1:12" ht="30" x14ac:dyDescent="0.25">
      <c r="A395" s="2" t="s">
        <v>894</v>
      </c>
      <c r="B395" t="s">
        <v>33</v>
      </c>
      <c r="C395" t="s">
        <v>895</v>
      </c>
      <c r="D395" t="str">
        <f>TRIM(Tabulka1[[#This Row],[Jméno]])</f>
        <v>Karolina</v>
      </c>
      <c r="E395" t="str">
        <f>TRIM(Tabulka1[[#This Row],[Příjmení]])</f>
        <v>Kalikova</v>
      </c>
      <c r="F395" s="2" t="str">
        <f>MID(Tabulka1[[#This Row],[Adresa]],1,SEARCH(",",Tabulka1[[#This Row],[Adresa]])-1)</f>
        <v>Suhrady 936</v>
      </c>
      <c r="G395" s="2" t="str">
        <f>RIGHT(Tabulka1[[#This Row],[Adresa]],LEN(Tabulka1[[#This Row],[Adresa]])-LEN(Tabulka1[[#This Row],[Ulice]])-1)</f>
        <v>Sudice</v>
      </c>
      <c r="H395" s="2" t="str">
        <f>_xlfn.CONCAT(LOWER(Tabulka1[[#This Row],[příjmení bez mezer]]),".",LOWER(Tabulka1[[#This Row],[Jmeno bez mezer]]),"@firmaabc.cz")</f>
        <v>kalikova.karolina@firmaabc.cz</v>
      </c>
      <c r="I395" s="2" t="str">
        <f>_xlfn.CONCAT(LOWER(LEFT(Tabulka1[[#This Row],[příjmení bez mezer]],3)),UPPER(RIGHT(Tabulka1[[#This Row],[Jmeno bez mezer]],2)))</f>
        <v>kalNA</v>
      </c>
      <c r="J395" s="2" t="s">
        <v>1514</v>
      </c>
      <c r="K395" s="2" t="s">
        <v>1931</v>
      </c>
      <c r="L395" s="3" t="s">
        <v>2402</v>
      </c>
    </row>
    <row r="396" spans="1:12" ht="30" x14ac:dyDescent="0.25">
      <c r="A396" s="2" t="s">
        <v>896</v>
      </c>
      <c r="B396" t="s">
        <v>217</v>
      </c>
      <c r="C396" t="s">
        <v>897</v>
      </c>
      <c r="D396" t="str">
        <f>TRIM(Tabulka1[[#This Row],[Jméno]])</f>
        <v>Marek</v>
      </c>
      <c r="E396" t="str">
        <f>TRIM(Tabulka1[[#This Row],[Příjmení]])</f>
        <v>Karnik</v>
      </c>
      <c r="F396" s="2" t="str">
        <f>MID(Tabulka1[[#This Row],[Adresa]],1,SEARCH(",",Tabulka1[[#This Row],[Adresa]])-1)</f>
        <v>Mlýnské údolí 1426</v>
      </c>
      <c r="G396" s="2" t="str">
        <f>RIGHT(Tabulka1[[#This Row],[Adresa]],LEN(Tabulka1[[#This Row],[Adresa]])-LEN(Tabulka1[[#This Row],[Ulice]])-1)</f>
        <v>Rudolfov</v>
      </c>
      <c r="H396" s="2" t="str">
        <f>_xlfn.CONCAT(LOWER(Tabulka1[[#This Row],[příjmení bez mezer]]),".",LOWER(Tabulka1[[#This Row],[Jmeno bez mezer]]),"@firmaabc.cz")</f>
        <v>karnik.marek@firmaabc.cz</v>
      </c>
      <c r="I396" s="2" t="str">
        <f>_xlfn.CONCAT(LOWER(LEFT(Tabulka1[[#This Row],[příjmení bez mezer]],3)),UPPER(RIGHT(Tabulka1[[#This Row],[Jmeno bez mezer]],2)))</f>
        <v>karEK</v>
      </c>
      <c r="J396" s="2" t="s">
        <v>1515</v>
      </c>
      <c r="K396" s="2" t="s">
        <v>1932</v>
      </c>
      <c r="L396" s="3" t="s">
        <v>2403</v>
      </c>
    </row>
    <row r="397" spans="1:12" x14ac:dyDescent="0.25">
      <c r="A397" s="2" t="s">
        <v>898</v>
      </c>
      <c r="B397" t="s">
        <v>899</v>
      </c>
      <c r="C397" t="s">
        <v>900</v>
      </c>
      <c r="D397" t="str">
        <f>TRIM(Tabulka1[[#This Row],[Jméno]])</f>
        <v>Sabina</v>
      </c>
      <c r="E397" t="str">
        <f>TRIM(Tabulka1[[#This Row],[Příjmení]])</f>
        <v>Pazderova</v>
      </c>
      <c r="F397" s="2" t="str">
        <f>MID(Tabulka1[[#This Row],[Adresa]],1,SEARCH(",",Tabulka1[[#This Row],[Adresa]])-1)</f>
        <v>Nová 1977</v>
      </c>
      <c r="G397" s="2" t="str">
        <f>RIGHT(Tabulka1[[#This Row],[Adresa]],LEN(Tabulka1[[#This Row],[Adresa]])-LEN(Tabulka1[[#This Row],[Ulice]])-1)</f>
        <v>Chlumín</v>
      </c>
      <c r="H397" s="2" t="str">
        <f>_xlfn.CONCAT(LOWER(Tabulka1[[#This Row],[příjmení bez mezer]]),".",LOWER(Tabulka1[[#This Row],[Jmeno bez mezer]]),"@firmaabc.cz")</f>
        <v>pazderova.sabina@firmaabc.cz</v>
      </c>
      <c r="I397" s="2" t="str">
        <f>_xlfn.CONCAT(LOWER(LEFT(Tabulka1[[#This Row],[příjmení bez mezer]],3)),UPPER(RIGHT(Tabulka1[[#This Row],[Jmeno bez mezer]],2)))</f>
        <v>pazNA</v>
      </c>
      <c r="J397" s="2" t="s">
        <v>1516</v>
      </c>
      <c r="K397" s="2" t="s">
        <v>1933</v>
      </c>
      <c r="L397" s="3" t="s">
        <v>2404</v>
      </c>
    </row>
    <row r="398" spans="1:12" ht="45" x14ac:dyDescent="0.25">
      <c r="A398" s="2" t="s">
        <v>901</v>
      </c>
      <c r="B398" t="s">
        <v>902</v>
      </c>
      <c r="C398" t="s">
        <v>903</v>
      </c>
      <c r="D398" t="str">
        <f>TRIM(Tabulka1[[#This Row],[Jméno]])</f>
        <v>Ivo</v>
      </c>
      <c r="E398" t="str">
        <f>TRIM(Tabulka1[[#This Row],[Příjmení]])</f>
        <v>Varga</v>
      </c>
      <c r="F398" s="2" t="str">
        <f>MID(Tabulka1[[#This Row],[Adresa]],1,SEARCH(",",Tabulka1[[#This Row],[Adresa]])-1)</f>
        <v>Sídliště Za Chlumem 576</v>
      </c>
      <c r="G398" s="2" t="str">
        <f>RIGHT(Tabulka1[[#This Row],[Adresa]],LEN(Tabulka1[[#This Row],[Adresa]])-LEN(Tabulka1[[#This Row],[Ulice]])-1)</f>
        <v>Žalany</v>
      </c>
      <c r="H398" s="2" t="str">
        <f>_xlfn.CONCAT(LOWER(Tabulka1[[#This Row],[příjmení bez mezer]]),".",LOWER(Tabulka1[[#This Row],[Jmeno bez mezer]]),"@firmaabc.cz")</f>
        <v>varga.ivo@firmaabc.cz</v>
      </c>
      <c r="I398" s="2" t="str">
        <f>_xlfn.CONCAT(LOWER(LEFT(Tabulka1[[#This Row],[příjmení bez mezer]],3)),UPPER(RIGHT(Tabulka1[[#This Row],[Jmeno bez mezer]],2)))</f>
        <v>varVO</v>
      </c>
      <c r="J398" s="2" t="s">
        <v>1517</v>
      </c>
      <c r="K398" s="2" t="s">
        <v>1934</v>
      </c>
      <c r="L398" s="3" t="s">
        <v>2405</v>
      </c>
    </row>
    <row r="399" spans="1:12" ht="30" x14ac:dyDescent="0.25">
      <c r="A399" s="2" t="s">
        <v>904</v>
      </c>
      <c r="B399" t="s">
        <v>506</v>
      </c>
      <c r="C399" t="s">
        <v>905</v>
      </c>
      <c r="D399" t="str">
        <f>TRIM(Tabulka1[[#This Row],[Jméno]])</f>
        <v>Ivan</v>
      </c>
      <c r="E399" t="str">
        <f>TRIM(Tabulka1[[#This Row],[Příjmení]])</f>
        <v>Janda</v>
      </c>
      <c r="F399" s="2" t="str">
        <f>MID(Tabulka1[[#This Row],[Adresa]],1,SEARCH(",",Tabulka1[[#This Row],[Adresa]])-1)</f>
        <v>Školní 1093</v>
      </c>
      <c r="G399" s="2" t="str">
        <f>RIGHT(Tabulka1[[#This Row],[Adresa]],LEN(Tabulka1[[#This Row],[Adresa]])-LEN(Tabulka1[[#This Row],[Ulice]])-1)</f>
        <v>Mirošov 1</v>
      </c>
      <c r="H399" s="2" t="str">
        <f>_xlfn.CONCAT(LOWER(Tabulka1[[#This Row],[příjmení bez mezer]]),".",LOWER(Tabulka1[[#This Row],[Jmeno bez mezer]]),"@firmaabc.cz")</f>
        <v>janda.ivan@firmaabc.cz</v>
      </c>
      <c r="I399" s="2" t="str">
        <f>_xlfn.CONCAT(LOWER(LEFT(Tabulka1[[#This Row],[příjmení bez mezer]],3)),UPPER(RIGHT(Tabulka1[[#This Row],[Jmeno bez mezer]],2)))</f>
        <v>janAN</v>
      </c>
      <c r="J399" s="2" t="s">
        <v>1518</v>
      </c>
      <c r="K399" s="2" t="s">
        <v>1935</v>
      </c>
      <c r="L399" s="3" t="s">
        <v>2406</v>
      </c>
    </row>
    <row r="400" spans="1:12" ht="45" x14ac:dyDescent="0.25">
      <c r="A400" s="2" t="s">
        <v>906</v>
      </c>
      <c r="B400" t="s">
        <v>907</v>
      </c>
      <c r="C400" t="s">
        <v>908</v>
      </c>
      <c r="D400" t="str">
        <f>TRIM(Tabulka1[[#This Row],[Jméno]])</f>
        <v>Evzenie</v>
      </c>
      <c r="E400" t="str">
        <f>TRIM(Tabulka1[[#This Row],[Příjmení]])</f>
        <v>Jechova</v>
      </c>
      <c r="F400" s="2" t="str">
        <f>MID(Tabulka1[[#This Row],[Adresa]],1,SEARCH(",",Tabulka1[[#This Row],[Adresa]])-1)</f>
        <v>Jindřichova 668</v>
      </c>
      <c r="G400" s="2" t="str">
        <f>RIGHT(Tabulka1[[#This Row],[Adresa]],LEN(Tabulka1[[#This Row],[Adresa]])-LEN(Tabulka1[[#This Row],[Ulice]])-1)</f>
        <v>Stráž nad Nežárkou</v>
      </c>
      <c r="H400" s="2" t="str">
        <f>_xlfn.CONCAT(LOWER(Tabulka1[[#This Row],[příjmení bez mezer]]),".",LOWER(Tabulka1[[#This Row],[Jmeno bez mezer]]),"@firmaabc.cz")</f>
        <v>jechova.evzenie@firmaabc.cz</v>
      </c>
      <c r="I400" s="2" t="str">
        <f>_xlfn.CONCAT(LOWER(LEFT(Tabulka1[[#This Row],[příjmení bez mezer]],3)),UPPER(RIGHT(Tabulka1[[#This Row],[Jmeno bez mezer]],2)))</f>
        <v>jecIE</v>
      </c>
      <c r="J400" s="2" t="s">
        <v>1519</v>
      </c>
      <c r="K400" s="2" t="s">
        <v>1936</v>
      </c>
      <c r="L400" s="3" t="s">
        <v>2407</v>
      </c>
    </row>
    <row r="401" spans="1:12" ht="45" x14ac:dyDescent="0.25">
      <c r="A401" s="2" t="s">
        <v>909</v>
      </c>
      <c r="B401" t="s">
        <v>509</v>
      </c>
      <c r="C401" t="s">
        <v>910</v>
      </c>
      <c r="D401" t="str">
        <f>TRIM(Tabulka1[[#This Row],[Jméno]])</f>
        <v>Sylvie</v>
      </c>
      <c r="E401" t="str">
        <f>TRIM(Tabulka1[[#This Row],[Příjmení]])</f>
        <v>Pletichova</v>
      </c>
      <c r="F401" s="2" t="str">
        <f>MID(Tabulka1[[#This Row],[Adresa]],1,SEARCH(",",Tabulka1[[#This Row],[Adresa]])-1)</f>
        <v>U medvídků 1017</v>
      </c>
      <c r="G401" s="2" t="str">
        <f>RIGHT(Tabulka1[[#This Row],[Adresa]],LEN(Tabulka1[[#This Row],[Adresa]])-LEN(Tabulka1[[#This Row],[Ulice]])-1)</f>
        <v>Kamýk nad Vltavou</v>
      </c>
      <c r="H401" s="2" t="str">
        <f>_xlfn.CONCAT(LOWER(Tabulka1[[#This Row],[příjmení bez mezer]]),".",LOWER(Tabulka1[[#This Row],[Jmeno bez mezer]]),"@firmaabc.cz")</f>
        <v>pletichova.sylvie@firmaabc.cz</v>
      </c>
      <c r="I401" s="2" t="str">
        <f>_xlfn.CONCAT(LOWER(LEFT(Tabulka1[[#This Row],[příjmení bez mezer]],3)),UPPER(RIGHT(Tabulka1[[#This Row],[Jmeno bez mezer]],2)))</f>
        <v>pleIE</v>
      </c>
      <c r="J401" s="2" t="s">
        <v>1520</v>
      </c>
      <c r="K401" s="2" t="s">
        <v>1899</v>
      </c>
      <c r="L401" s="3" t="s">
        <v>2408</v>
      </c>
    </row>
    <row r="402" spans="1:12" ht="30" x14ac:dyDescent="0.25">
      <c r="A402" s="2" t="s">
        <v>911</v>
      </c>
      <c r="B402" t="s">
        <v>232</v>
      </c>
      <c r="C402" t="s">
        <v>912</v>
      </c>
      <c r="D402" t="str">
        <f>TRIM(Tabulka1[[#This Row],[Jméno]])</f>
        <v>Zdenek</v>
      </c>
      <c r="E402" t="str">
        <f>TRIM(Tabulka1[[#This Row],[Příjmení]])</f>
        <v>Sikora</v>
      </c>
      <c r="F402" s="2" t="str">
        <f>MID(Tabulka1[[#This Row],[Adresa]],1,SEARCH(",",Tabulka1[[#This Row],[Adresa]])-1)</f>
        <v>Havlíčkova 526</v>
      </c>
      <c r="G402" s="2" t="str">
        <f>RIGHT(Tabulka1[[#This Row],[Adresa]],LEN(Tabulka1[[#This Row],[Adresa]])-LEN(Tabulka1[[#This Row],[Ulice]])-1)</f>
        <v>Sedlcany</v>
      </c>
      <c r="H402" s="2" t="str">
        <f>_xlfn.CONCAT(LOWER(Tabulka1[[#This Row],[příjmení bez mezer]]),".",LOWER(Tabulka1[[#This Row],[Jmeno bez mezer]]),"@firmaabc.cz")</f>
        <v>sikora.zdenek@firmaabc.cz</v>
      </c>
      <c r="I402" s="2" t="str">
        <f>_xlfn.CONCAT(LOWER(LEFT(Tabulka1[[#This Row],[příjmení bez mezer]],3)),UPPER(RIGHT(Tabulka1[[#This Row],[Jmeno bez mezer]],2)))</f>
        <v>sikEK</v>
      </c>
      <c r="J402" s="2" t="s">
        <v>1521</v>
      </c>
      <c r="K402" s="2" t="s">
        <v>1937</v>
      </c>
      <c r="L402" s="3" t="s">
        <v>2409</v>
      </c>
    </row>
    <row r="403" spans="1:12" ht="30" x14ac:dyDescent="0.25">
      <c r="A403" s="2" t="s">
        <v>913</v>
      </c>
      <c r="B403" t="s">
        <v>914</v>
      </c>
      <c r="C403" t="s">
        <v>915</v>
      </c>
      <c r="D403" t="str">
        <f>TRIM(Tabulka1[[#This Row],[Jméno]])</f>
        <v>Viktor</v>
      </c>
      <c r="E403" t="str">
        <f>TRIM(Tabulka1[[#This Row],[Příjmení]])</f>
        <v>Toman</v>
      </c>
      <c r="F403" s="2" t="str">
        <f>MID(Tabulka1[[#This Row],[Adresa]],1,SEARCH(",",Tabulka1[[#This Row],[Adresa]])-1)</f>
        <v>Na Výsluní 1092</v>
      </c>
      <c r="G403" s="2" t="str">
        <f>RIGHT(Tabulka1[[#This Row],[Adresa]],LEN(Tabulka1[[#This Row],[Adresa]])-LEN(Tabulka1[[#This Row],[Ulice]])-1)</f>
        <v>Stríbro</v>
      </c>
      <c r="H403" s="2" t="str">
        <f>_xlfn.CONCAT(LOWER(Tabulka1[[#This Row],[příjmení bez mezer]]),".",LOWER(Tabulka1[[#This Row],[Jmeno bez mezer]]),"@firmaabc.cz")</f>
        <v>toman.viktor@firmaabc.cz</v>
      </c>
      <c r="I403" s="2" t="str">
        <f>_xlfn.CONCAT(LOWER(LEFT(Tabulka1[[#This Row],[příjmení bez mezer]],3)),UPPER(RIGHT(Tabulka1[[#This Row],[Jmeno bez mezer]],2)))</f>
        <v>tomOR</v>
      </c>
      <c r="J403" s="2" t="s">
        <v>1522</v>
      </c>
      <c r="K403" s="2" t="s">
        <v>1691</v>
      </c>
      <c r="L403" s="3" t="s">
        <v>2410</v>
      </c>
    </row>
    <row r="404" spans="1:12" ht="45" x14ac:dyDescent="0.25">
      <c r="A404" s="2" t="s">
        <v>916</v>
      </c>
      <c r="B404" t="s">
        <v>546</v>
      </c>
      <c r="C404" t="s">
        <v>470</v>
      </c>
      <c r="D404" t="str">
        <f>TRIM(Tabulka1[[#This Row],[Jméno]])</f>
        <v>Ladislav</v>
      </c>
      <c r="E404" t="str">
        <f>TRIM(Tabulka1[[#This Row],[Příjmení]])</f>
        <v>Turek</v>
      </c>
      <c r="F404" s="2" t="str">
        <f>MID(Tabulka1[[#This Row],[Adresa]],1,SEARCH(",",Tabulka1[[#This Row],[Adresa]])-1)</f>
        <v>Sídliště Za Chlumem 73</v>
      </c>
      <c r="G404" s="2" t="str">
        <f>RIGHT(Tabulka1[[#This Row],[Adresa]],LEN(Tabulka1[[#This Row],[Adresa]])-LEN(Tabulka1[[#This Row],[Ulice]])-1)</f>
        <v>Bílina 4</v>
      </c>
      <c r="H404" s="2" t="str">
        <f>_xlfn.CONCAT(LOWER(Tabulka1[[#This Row],[příjmení bez mezer]]),".",LOWER(Tabulka1[[#This Row],[Jmeno bez mezer]]),"@firmaabc.cz")</f>
        <v>turek.ladislav@firmaabc.cz</v>
      </c>
      <c r="I404" s="2" t="str">
        <f>_xlfn.CONCAT(LOWER(LEFT(Tabulka1[[#This Row],[příjmení bez mezer]],3)),UPPER(RIGHT(Tabulka1[[#This Row],[Jmeno bez mezer]],2)))</f>
        <v>turAV</v>
      </c>
      <c r="J404" s="2" t="s">
        <v>1523</v>
      </c>
      <c r="K404" s="2" t="s">
        <v>1639</v>
      </c>
      <c r="L404" s="3" t="s">
        <v>2411</v>
      </c>
    </row>
    <row r="405" spans="1:12" ht="30" x14ac:dyDescent="0.25">
      <c r="A405" s="2" t="s">
        <v>917</v>
      </c>
      <c r="B405" t="s">
        <v>42</v>
      </c>
      <c r="C405" t="s">
        <v>918</v>
      </c>
      <c r="D405" t="str">
        <f>TRIM(Tabulka1[[#This Row],[Jméno]])</f>
        <v>Marie</v>
      </c>
      <c r="E405" t="str">
        <f>TRIM(Tabulka1[[#This Row],[Příjmení]])</f>
        <v>Andrlikova</v>
      </c>
      <c r="F405" s="2" t="str">
        <f>MID(Tabulka1[[#This Row],[Adresa]],1,SEARCH(",",Tabulka1[[#This Row],[Adresa]])-1)</f>
        <v>Spojovací 827</v>
      </c>
      <c r="G405" s="2" t="str">
        <f>RIGHT(Tabulka1[[#This Row],[Adresa]],LEN(Tabulka1[[#This Row],[Adresa]])-LEN(Tabulka1[[#This Row],[Ulice]])-1)</f>
        <v>Starec</v>
      </c>
      <c r="H405" s="2" t="str">
        <f>_xlfn.CONCAT(LOWER(Tabulka1[[#This Row],[příjmení bez mezer]]),".",LOWER(Tabulka1[[#This Row],[Jmeno bez mezer]]),"@firmaabc.cz")</f>
        <v>andrlikova.marie@firmaabc.cz</v>
      </c>
      <c r="I405" s="2" t="str">
        <f>_xlfn.CONCAT(LOWER(LEFT(Tabulka1[[#This Row],[příjmení bez mezer]],3)),UPPER(RIGHT(Tabulka1[[#This Row],[Jmeno bez mezer]],2)))</f>
        <v>andIE</v>
      </c>
      <c r="J405" s="2" t="s">
        <v>1524</v>
      </c>
      <c r="K405" s="2" t="s">
        <v>1938</v>
      </c>
      <c r="L405" s="3" t="s">
        <v>2412</v>
      </c>
    </row>
    <row r="406" spans="1:12" ht="60" x14ac:dyDescent="0.25">
      <c r="A406" s="2" t="s">
        <v>919</v>
      </c>
      <c r="B406" t="s">
        <v>308</v>
      </c>
      <c r="C406" t="s">
        <v>920</v>
      </c>
      <c r="D406" t="str">
        <f>TRIM(Tabulka1[[#This Row],[Jméno]])</f>
        <v>Stanislav</v>
      </c>
      <c r="E406" t="str">
        <f>TRIM(Tabulka1[[#This Row],[Příjmení]])</f>
        <v>Suchy</v>
      </c>
      <c r="F406" s="2" t="str">
        <f>MID(Tabulka1[[#This Row],[Adresa]],1,SEARCH(",",Tabulka1[[#This Row],[Adresa]])-1)</f>
        <v>Družstevní práce 782</v>
      </c>
      <c r="G406" s="2" t="str">
        <f>RIGHT(Tabulka1[[#This Row],[Adresa]],LEN(Tabulka1[[#This Row],[Adresa]])-LEN(Tabulka1[[#This Row],[Ulice]])-1)</f>
        <v>Trebechovice pod Orebem</v>
      </c>
      <c r="H406" s="2" t="str">
        <f>_xlfn.CONCAT(LOWER(Tabulka1[[#This Row],[příjmení bez mezer]]),".",LOWER(Tabulka1[[#This Row],[Jmeno bez mezer]]),"@firmaabc.cz")</f>
        <v>suchy.stanislav@firmaabc.cz</v>
      </c>
      <c r="I406" s="2" t="str">
        <f>_xlfn.CONCAT(LOWER(LEFT(Tabulka1[[#This Row],[příjmení bez mezer]],3)),UPPER(RIGHT(Tabulka1[[#This Row],[Jmeno bez mezer]],2)))</f>
        <v>sucAV</v>
      </c>
      <c r="J406" s="2" t="s">
        <v>1525</v>
      </c>
      <c r="K406" s="2" t="s">
        <v>1939</v>
      </c>
      <c r="L406" s="3" t="s">
        <v>2413</v>
      </c>
    </row>
    <row r="407" spans="1:12" ht="45" x14ac:dyDescent="0.25">
      <c r="A407" s="2" t="s">
        <v>921</v>
      </c>
      <c r="B407" t="s">
        <v>440</v>
      </c>
      <c r="C407" t="s">
        <v>922</v>
      </c>
      <c r="D407" t="str">
        <f>TRIM(Tabulka1[[#This Row],[Jméno]])</f>
        <v>Ludek</v>
      </c>
      <c r="E407" t="str">
        <f>TRIM(Tabulka1[[#This Row],[Příjmení]])</f>
        <v>Lindner</v>
      </c>
      <c r="F407" s="2" t="str">
        <f>MID(Tabulka1[[#This Row],[Adresa]],1,SEARCH(",",Tabulka1[[#This Row],[Adresa]])-1)</f>
        <v>Jana Šťastného 798</v>
      </c>
      <c r="G407" s="2" t="str">
        <f>RIGHT(Tabulka1[[#This Row],[Adresa]],LEN(Tabulka1[[#This Row],[Adresa]])-LEN(Tabulka1[[#This Row],[Ulice]])-1)</f>
        <v>Cisovice</v>
      </c>
      <c r="H407" s="2" t="str">
        <f>_xlfn.CONCAT(LOWER(Tabulka1[[#This Row],[příjmení bez mezer]]),".",LOWER(Tabulka1[[#This Row],[Jmeno bez mezer]]),"@firmaabc.cz")</f>
        <v>lindner.ludek@firmaabc.cz</v>
      </c>
      <c r="I407" s="2" t="str">
        <f>_xlfn.CONCAT(LOWER(LEFT(Tabulka1[[#This Row],[příjmení bez mezer]],3)),UPPER(RIGHT(Tabulka1[[#This Row],[Jmeno bez mezer]],2)))</f>
        <v>linEK</v>
      </c>
      <c r="J407" s="2" t="s">
        <v>1526</v>
      </c>
      <c r="K407" s="2" t="s">
        <v>1940</v>
      </c>
      <c r="L407" s="3" t="s">
        <v>2414</v>
      </c>
    </row>
    <row r="408" spans="1:12" x14ac:dyDescent="0.25">
      <c r="A408" s="2" t="s">
        <v>923</v>
      </c>
      <c r="B408" t="s">
        <v>924</v>
      </c>
      <c r="C408" t="s">
        <v>925</v>
      </c>
      <c r="D408" t="str">
        <f>TRIM(Tabulka1[[#This Row],[Jméno]])</f>
        <v>Barbora</v>
      </c>
      <c r="E408" t="str">
        <f>TRIM(Tabulka1[[#This Row],[Příjmení]])</f>
        <v>Sejkorova</v>
      </c>
      <c r="F408" s="2" t="str">
        <f>MID(Tabulka1[[#This Row],[Adresa]],1,SEARCH(",",Tabulka1[[#This Row],[Adresa]])-1)</f>
        <v>Školní 783</v>
      </c>
      <c r="G408" s="2" t="str">
        <f>RIGHT(Tabulka1[[#This Row],[Adresa]],LEN(Tabulka1[[#This Row],[Adresa]])-LEN(Tabulka1[[#This Row],[Ulice]])-1)</f>
        <v>Klatovy 1</v>
      </c>
      <c r="H408" s="2" t="str">
        <f>_xlfn.CONCAT(LOWER(Tabulka1[[#This Row],[příjmení bez mezer]]),".",LOWER(Tabulka1[[#This Row],[Jmeno bez mezer]]),"@firmaabc.cz")</f>
        <v>sejkorova.barbora@firmaabc.cz</v>
      </c>
      <c r="I408" s="2" t="str">
        <f>_xlfn.CONCAT(LOWER(LEFT(Tabulka1[[#This Row],[příjmení bez mezer]],3)),UPPER(RIGHT(Tabulka1[[#This Row],[Jmeno bez mezer]],2)))</f>
        <v>sejRA</v>
      </c>
      <c r="J408" s="2" t="s">
        <v>1527</v>
      </c>
      <c r="K408" s="2" t="s">
        <v>1941</v>
      </c>
      <c r="L408" s="3" t="s">
        <v>2415</v>
      </c>
    </row>
    <row r="409" spans="1:12" ht="45" x14ac:dyDescent="0.25">
      <c r="A409" s="2" t="s">
        <v>926</v>
      </c>
      <c r="B409" t="s">
        <v>287</v>
      </c>
      <c r="C409" t="s">
        <v>927</v>
      </c>
      <c r="D409" t="str">
        <f>TRIM(Tabulka1[[#This Row],[Jméno]])</f>
        <v>Petr</v>
      </c>
      <c r="E409" t="str">
        <f>TRIM(Tabulka1[[#This Row],[Příjmení]])</f>
        <v>Maixner</v>
      </c>
      <c r="F409" s="2" t="str">
        <f>MID(Tabulka1[[#This Row],[Adresa]],1,SEARCH(",",Tabulka1[[#This Row],[Adresa]])-1)</f>
        <v>Partyzánská 1728</v>
      </c>
      <c r="G409" s="2" t="str">
        <f>RIGHT(Tabulka1[[#This Row],[Adresa]],LEN(Tabulka1[[#This Row],[Adresa]])-LEN(Tabulka1[[#This Row],[Ulice]])-1)</f>
        <v>Chvalkovice v Cechách</v>
      </c>
      <c r="H409" s="2" t="str">
        <f>_xlfn.CONCAT(LOWER(Tabulka1[[#This Row],[příjmení bez mezer]]),".",LOWER(Tabulka1[[#This Row],[Jmeno bez mezer]]),"@firmaabc.cz")</f>
        <v>maixner.petr@firmaabc.cz</v>
      </c>
      <c r="I409" s="2" t="str">
        <f>_xlfn.CONCAT(LOWER(LEFT(Tabulka1[[#This Row],[příjmení bez mezer]],3)),UPPER(RIGHT(Tabulka1[[#This Row],[Jmeno bez mezer]],2)))</f>
        <v>maiTR</v>
      </c>
      <c r="J409" s="2" t="s">
        <v>1528</v>
      </c>
      <c r="K409" s="2" t="s">
        <v>1774</v>
      </c>
      <c r="L409" s="3" t="s">
        <v>2416</v>
      </c>
    </row>
    <row r="410" spans="1:12" x14ac:dyDescent="0.25">
      <c r="A410" s="2" t="s">
        <v>928</v>
      </c>
      <c r="B410" t="s">
        <v>311</v>
      </c>
      <c r="C410" t="s">
        <v>929</v>
      </c>
      <c r="D410" t="str">
        <f>TRIM(Tabulka1[[#This Row],[Jméno]])</f>
        <v>Lucie</v>
      </c>
      <c r="E410" t="str">
        <f>TRIM(Tabulka1[[#This Row],[Příjmení]])</f>
        <v>Klirova</v>
      </c>
      <c r="F410" s="2" t="str">
        <f>MID(Tabulka1[[#This Row],[Adresa]],1,SEARCH(",",Tabulka1[[#This Row],[Adresa]])-1)</f>
        <v>Jičín 209</v>
      </c>
      <c r="G410" s="2" t="str">
        <f>RIGHT(Tabulka1[[#This Row],[Adresa]],LEN(Tabulka1[[#This Row],[Adresa]])-LEN(Tabulka1[[#This Row],[Ulice]])-1)</f>
        <v>Jicín 1</v>
      </c>
      <c r="H410" s="2" t="str">
        <f>_xlfn.CONCAT(LOWER(Tabulka1[[#This Row],[příjmení bez mezer]]),".",LOWER(Tabulka1[[#This Row],[Jmeno bez mezer]]),"@firmaabc.cz")</f>
        <v>klirova.lucie@firmaabc.cz</v>
      </c>
      <c r="I410" s="2" t="str">
        <f>_xlfn.CONCAT(LOWER(LEFT(Tabulka1[[#This Row],[příjmení bez mezer]],3)),UPPER(RIGHT(Tabulka1[[#This Row],[Jmeno bez mezer]],2)))</f>
        <v>kliIE</v>
      </c>
      <c r="J410" s="2" t="s">
        <v>1529</v>
      </c>
      <c r="K410" s="2" t="s">
        <v>1754</v>
      </c>
      <c r="L410" s="3" t="s">
        <v>2417</v>
      </c>
    </row>
    <row r="411" spans="1:12" ht="30" x14ac:dyDescent="0.25">
      <c r="A411" s="2" t="s">
        <v>930</v>
      </c>
      <c r="B411" t="s">
        <v>113</v>
      </c>
      <c r="C411" t="s">
        <v>931</v>
      </c>
      <c r="D411" t="str">
        <f>TRIM(Tabulka1[[#This Row],[Jméno]])</f>
        <v>Jiri</v>
      </c>
      <c r="E411" t="str">
        <f>TRIM(Tabulka1[[#This Row],[Příjmení]])</f>
        <v>Sestak</v>
      </c>
      <c r="F411" s="2" t="str">
        <f>MID(Tabulka1[[#This Row],[Adresa]],1,SEARCH(",",Tabulka1[[#This Row],[Adresa]])-1)</f>
        <v>Absolonova 857</v>
      </c>
      <c r="G411" s="2" t="str">
        <f>RIGHT(Tabulka1[[#This Row],[Adresa]],LEN(Tabulka1[[#This Row],[Adresa]])-LEN(Tabulka1[[#This Row],[Ulice]])-1)</f>
        <v>Mohelno</v>
      </c>
      <c r="H411" s="2" t="str">
        <f>_xlfn.CONCAT(LOWER(Tabulka1[[#This Row],[příjmení bez mezer]]),".",LOWER(Tabulka1[[#This Row],[Jmeno bez mezer]]),"@firmaabc.cz")</f>
        <v>sestak.jiri@firmaabc.cz</v>
      </c>
      <c r="I411" s="2" t="str">
        <f>_xlfn.CONCAT(LOWER(LEFT(Tabulka1[[#This Row],[příjmení bez mezer]],3)),UPPER(RIGHT(Tabulka1[[#This Row],[Jmeno bez mezer]],2)))</f>
        <v>sesRI</v>
      </c>
      <c r="J411" s="2" t="s">
        <v>1530</v>
      </c>
      <c r="K411" s="2" t="s">
        <v>1942</v>
      </c>
      <c r="L411" s="3" t="s">
        <v>2418</v>
      </c>
    </row>
    <row r="412" spans="1:12" ht="45" x14ac:dyDescent="0.25">
      <c r="A412" s="2" t="s">
        <v>932</v>
      </c>
      <c r="B412" t="s">
        <v>268</v>
      </c>
      <c r="C412" t="s">
        <v>933</v>
      </c>
      <c r="D412" t="str">
        <f>TRIM(Tabulka1[[#This Row],[Jméno]])</f>
        <v>Anna</v>
      </c>
      <c r="E412" t="str">
        <f>TRIM(Tabulka1[[#This Row],[Příjmení]])</f>
        <v>Blazkova</v>
      </c>
      <c r="F412" s="2" t="str">
        <f>MID(Tabulka1[[#This Row],[Adresa]],1,SEARCH(",",Tabulka1[[#This Row],[Adresa]])-1)</f>
        <v>Na Kopečku 804</v>
      </c>
      <c r="G412" s="2" t="str">
        <f>RIGHT(Tabulka1[[#This Row],[Adresa]],LEN(Tabulka1[[#This Row],[Adresa]])-LEN(Tabulka1[[#This Row],[Ulice]])-1)</f>
        <v>Všestary</v>
      </c>
      <c r="H412" s="2" t="str">
        <f>_xlfn.CONCAT(LOWER(Tabulka1[[#This Row],[příjmení bez mezer]]),".",LOWER(Tabulka1[[#This Row],[Jmeno bez mezer]]),"@firmaabc.cz")</f>
        <v>blazkova.anna@firmaabc.cz</v>
      </c>
      <c r="I412" s="2" t="str">
        <f>_xlfn.CONCAT(LOWER(LEFT(Tabulka1[[#This Row],[příjmení bez mezer]],3)),UPPER(RIGHT(Tabulka1[[#This Row],[Jmeno bez mezer]],2)))</f>
        <v>blaNA</v>
      </c>
      <c r="J412" s="2" t="s">
        <v>1531</v>
      </c>
      <c r="K412" s="2" t="s">
        <v>1943</v>
      </c>
      <c r="L412" s="3" t="s">
        <v>2419</v>
      </c>
    </row>
    <row r="413" spans="1:12" x14ac:dyDescent="0.25">
      <c r="A413" s="2" t="s">
        <v>934</v>
      </c>
      <c r="B413" t="s">
        <v>253</v>
      </c>
      <c r="C413" t="s">
        <v>935</v>
      </c>
      <c r="D413" t="str">
        <f>TRIM(Tabulka1[[#This Row],[Jméno]])</f>
        <v>Eva</v>
      </c>
      <c r="E413" t="str">
        <f>TRIM(Tabulka1[[#This Row],[Příjmení]])</f>
        <v>Hanzlikova</v>
      </c>
      <c r="F413" s="2" t="str">
        <f>MID(Tabulka1[[#This Row],[Adresa]],1,SEARCH(",",Tabulka1[[#This Row],[Adresa]])-1)</f>
        <v>Tylova 1826</v>
      </c>
      <c r="G413" s="2" t="str">
        <f>RIGHT(Tabulka1[[#This Row],[Adresa]],LEN(Tabulka1[[#This Row],[Adresa]])-LEN(Tabulka1[[#This Row],[Ulice]])-1)</f>
        <v>Jevícko</v>
      </c>
      <c r="H413" s="2" t="str">
        <f>_xlfn.CONCAT(LOWER(Tabulka1[[#This Row],[příjmení bez mezer]]),".",LOWER(Tabulka1[[#This Row],[Jmeno bez mezer]]),"@firmaabc.cz")</f>
        <v>hanzlikova.eva@firmaabc.cz</v>
      </c>
      <c r="I413" s="2" t="str">
        <f>_xlfn.CONCAT(LOWER(LEFT(Tabulka1[[#This Row],[příjmení bez mezer]],3)),UPPER(RIGHT(Tabulka1[[#This Row],[Jmeno bez mezer]],2)))</f>
        <v>hanVA</v>
      </c>
      <c r="J413" s="2" t="s">
        <v>1532</v>
      </c>
      <c r="K413" s="2" t="s">
        <v>1944</v>
      </c>
      <c r="L413" s="3" t="s">
        <v>2420</v>
      </c>
    </row>
    <row r="414" spans="1:12" ht="45" x14ac:dyDescent="0.25">
      <c r="A414" s="2" t="s">
        <v>936</v>
      </c>
      <c r="B414" t="s">
        <v>937</v>
      </c>
      <c r="C414" t="s">
        <v>938</v>
      </c>
      <c r="D414" t="str">
        <f>TRIM(Tabulka1[[#This Row],[Jméno]])</f>
        <v>Stella</v>
      </c>
      <c r="E414" t="str">
        <f>TRIM(Tabulka1[[#This Row],[Příjmení]])</f>
        <v>Sadilkova</v>
      </c>
      <c r="F414" s="2" t="str">
        <f>MID(Tabulka1[[#This Row],[Adresa]],1,SEARCH(",",Tabulka1[[#This Row],[Adresa]])-1)</f>
        <v>Jana Šťastného 812</v>
      </c>
      <c r="G414" s="2" t="str">
        <f>RIGHT(Tabulka1[[#This Row],[Adresa]],LEN(Tabulka1[[#This Row],[Adresa]])-LEN(Tabulka1[[#This Row],[Ulice]])-1)</f>
        <v>Slapy nad Vltavou</v>
      </c>
      <c r="H414" s="2" t="str">
        <f>_xlfn.CONCAT(LOWER(Tabulka1[[#This Row],[příjmení bez mezer]]),".",LOWER(Tabulka1[[#This Row],[Jmeno bez mezer]]),"@firmaabc.cz")</f>
        <v>sadilkova.stella@firmaabc.cz</v>
      </c>
      <c r="I414" s="2" t="str">
        <f>_xlfn.CONCAT(LOWER(LEFT(Tabulka1[[#This Row],[příjmení bez mezer]],3)),UPPER(RIGHT(Tabulka1[[#This Row],[Jmeno bez mezer]],2)))</f>
        <v>sadLA</v>
      </c>
      <c r="J414" s="2" t="s">
        <v>1533</v>
      </c>
      <c r="K414" s="2" t="s">
        <v>1945</v>
      </c>
      <c r="L414" s="3" t="s">
        <v>2421</v>
      </c>
    </row>
    <row r="415" spans="1:12" ht="45" x14ac:dyDescent="0.25">
      <c r="A415" s="2" t="s">
        <v>939</v>
      </c>
      <c r="B415" t="s">
        <v>320</v>
      </c>
      <c r="C415" t="s">
        <v>877</v>
      </c>
      <c r="D415" t="str">
        <f>TRIM(Tabulka1[[#This Row],[Jméno]])</f>
        <v>Helena</v>
      </c>
      <c r="E415" t="str">
        <f>TRIM(Tabulka1[[#This Row],[Příjmení]])</f>
        <v>Duskova</v>
      </c>
      <c r="F415" s="2" t="str">
        <f>MID(Tabulka1[[#This Row],[Adresa]],1,SEARCH(",",Tabulka1[[#This Row],[Adresa]])-1)</f>
        <v>Žižkova 810</v>
      </c>
      <c r="G415" s="2" t="str">
        <f>RIGHT(Tabulka1[[#This Row],[Adresa]],LEN(Tabulka1[[#This Row],[Adresa]])-LEN(Tabulka1[[#This Row],[Ulice]])-1)</f>
        <v>Nemcice nad Hanou</v>
      </c>
      <c r="H415" s="2" t="str">
        <f>_xlfn.CONCAT(LOWER(Tabulka1[[#This Row],[příjmení bez mezer]]),".",LOWER(Tabulka1[[#This Row],[Jmeno bez mezer]]),"@firmaabc.cz")</f>
        <v>duskova.helena@firmaabc.cz</v>
      </c>
      <c r="I415" s="2" t="str">
        <f>_xlfn.CONCAT(LOWER(LEFT(Tabulka1[[#This Row],[příjmení bez mezer]],3)),UPPER(RIGHT(Tabulka1[[#This Row],[Jmeno bez mezer]],2)))</f>
        <v>dusNA</v>
      </c>
      <c r="J415" s="2" t="s">
        <v>1534</v>
      </c>
      <c r="K415" s="2" t="s">
        <v>1946</v>
      </c>
      <c r="L415" s="3" t="s">
        <v>2422</v>
      </c>
    </row>
    <row r="416" spans="1:12" ht="30" x14ac:dyDescent="0.25">
      <c r="A416" s="2" t="s">
        <v>940</v>
      </c>
      <c r="B416" t="s">
        <v>941</v>
      </c>
      <c r="C416" t="s">
        <v>942</v>
      </c>
      <c r="D416" t="str">
        <f>TRIM(Tabulka1[[#This Row],[Jméno]])</f>
        <v>Aneta</v>
      </c>
      <c r="E416" t="str">
        <f>TRIM(Tabulka1[[#This Row],[Příjmení]])</f>
        <v>Simanova</v>
      </c>
      <c r="F416" s="2" t="str">
        <f>MID(Tabulka1[[#This Row],[Adresa]],1,SEARCH(",",Tabulka1[[#This Row],[Adresa]])-1)</f>
        <v>Americká 1821</v>
      </c>
      <c r="G416" s="2" t="str">
        <f>RIGHT(Tabulka1[[#This Row],[Adresa]],LEN(Tabulka1[[#This Row],[Adresa]])-LEN(Tabulka1[[#This Row],[Ulice]])-1)</f>
        <v>Kolinec</v>
      </c>
      <c r="H416" s="2" t="str">
        <f>_xlfn.CONCAT(LOWER(Tabulka1[[#This Row],[příjmení bez mezer]]),".",LOWER(Tabulka1[[#This Row],[Jmeno bez mezer]]),"@firmaabc.cz")</f>
        <v>simanova.aneta@firmaabc.cz</v>
      </c>
      <c r="I416" s="2" t="str">
        <f>_xlfn.CONCAT(LOWER(LEFT(Tabulka1[[#This Row],[příjmení bez mezer]],3)),UPPER(RIGHT(Tabulka1[[#This Row],[Jmeno bez mezer]],2)))</f>
        <v>simTA</v>
      </c>
      <c r="J416" s="2" t="s">
        <v>1535</v>
      </c>
      <c r="K416" s="2" t="s">
        <v>1947</v>
      </c>
      <c r="L416" s="3" t="s">
        <v>2423</v>
      </c>
    </row>
    <row r="417" spans="1:12" ht="45" x14ac:dyDescent="0.25">
      <c r="A417" s="2" t="s">
        <v>943</v>
      </c>
      <c r="B417" t="s">
        <v>263</v>
      </c>
      <c r="C417" t="s">
        <v>111</v>
      </c>
      <c r="D417" t="str">
        <f>TRIM(Tabulka1[[#This Row],[Jméno]])</f>
        <v>Robert</v>
      </c>
      <c r="E417" t="str">
        <f>TRIM(Tabulka1[[#This Row],[Příjmení]])</f>
        <v>Sedlak</v>
      </c>
      <c r="F417" s="2" t="str">
        <f>MID(Tabulka1[[#This Row],[Adresa]],1,SEARCH(",",Tabulka1[[#This Row],[Adresa]])-1)</f>
        <v>Školní 305</v>
      </c>
      <c r="G417" s="2" t="str">
        <f>RIGHT(Tabulka1[[#This Row],[Adresa]],LEN(Tabulka1[[#This Row],[Adresa]])-LEN(Tabulka1[[#This Row],[Ulice]])-1)</f>
        <v>Benešov nad Cernou</v>
      </c>
      <c r="H417" s="2" t="str">
        <f>_xlfn.CONCAT(LOWER(Tabulka1[[#This Row],[příjmení bez mezer]]),".",LOWER(Tabulka1[[#This Row],[Jmeno bez mezer]]),"@firmaabc.cz")</f>
        <v>sedlak.robert@firmaabc.cz</v>
      </c>
      <c r="I417" s="2" t="str">
        <f>_xlfn.CONCAT(LOWER(LEFT(Tabulka1[[#This Row],[příjmení bez mezer]],3)),UPPER(RIGHT(Tabulka1[[#This Row],[Jmeno bez mezer]],2)))</f>
        <v>sedRT</v>
      </c>
      <c r="J417" s="2" t="s">
        <v>1536</v>
      </c>
      <c r="K417" s="2" t="s">
        <v>1948</v>
      </c>
      <c r="L417" s="3" t="s">
        <v>2424</v>
      </c>
    </row>
    <row r="418" spans="1:12" ht="30" x14ac:dyDescent="0.25">
      <c r="A418" s="2" t="s">
        <v>944</v>
      </c>
      <c r="B418" t="s">
        <v>82</v>
      </c>
      <c r="C418" t="s">
        <v>945</v>
      </c>
      <c r="D418" t="str">
        <f>TRIM(Tabulka1[[#This Row],[Jméno]])</f>
        <v>Katerina</v>
      </c>
      <c r="E418" t="str">
        <f>TRIM(Tabulka1[[#This Row],[Příjmení]])</f>
        <v>Kalivodova</v>
      </c>
      <c r="F418" s="2" t="str">
        <f>MID(Tabulka1[[#This Row],[Adresa]],1,SEARCH(",",Tabulka1[[#This Row],[Adresa]])-1)</f>
        <v>Hřbitovní 1782</v>
      </c>
      <c r="G418" s="2" t="str">
        <f>RIGHT(Tabulka1[[#This Row],[Adresa]],LEN(Tabulka1[[#This Row],[Adresa]])-LEN(Tabulka1[[#This Row],[Ulice]])-1)</f>
        <v>Slavicín</v>
      </c>
      <c r="H418" s="2" t="str">
        <f>_xlfn.CONCAT(LOWER(Tabulka1[[#This Row],[příjmení bez mezer]]),".",LOWER(Tabulka1[[#This Row],[Jmeno bez mezer]]),"@firmaabc.cz")</f>
        <v>kalivodova.katerina@firmaabc.cz</v>
      </c>
      <c r="I418" s="2" t="str">
        <f>_xlfn.CONCAT(LOWER(LEFT(Tabulka1[[#This Row],[příjmení bez mezer]],3)),UPPER(RIGHT(Tabulka1[[#This Row],[Jmeno bez mezer]],2)))</f>
        <v>kalNA</v>
      </c>
      <c r="J418" s="2" t="s">
        <v>1537</v>
      </c>
      <c r="K418" s="2" t="s">
        <v>1949</v>
      </c>
      <c r="L418" s="3" t="s">
        <v>2425</v>
      </c>
    </row>
    <row r="419" spans="1:12" ht="30" x14ac:dyDescent="0.25">
      <c r="A419" s="2" t="s">
        <v>946</v>
      </c>
      <c r="B419" t="s">
        <v>947</v>
      </c>
      <c r="C419" t="s">
        <v>948</v>
      </c>
      <c r="D419" t="str">
        <f>TRIM(Tabulka1[[#This Row],[Jméno]])</f>
        <v>Emilie</v>
      </c>
      <c r="E419" t="str">
        <f>TRIM(Tabulka1[[#This Row],[Příjmení]])</f>
        <v>Rihackova</v>
      </c>
      <c r="F419" s="2" t="str">
        <f>MID(Tabulka1[[#This Row],[Adresa]],1,SEARCH(",",Tabulka1[[#This Row],[Adresa]])-1)</f>
        <v>Dělnická 259</v>
      </c>
      <c r="G419" s="2" t="str">
        <f>RIGHT(Tabulka1[[#This Row],[Adresa]],LEN(Tabulka1[[#This Row],[Adresa]])-LEN(Tabulka1[[#This Row],[Ulice]])-1)</f>
        <v>Potštát</v>
      </c>
      <c r="H419" s="2" t="str">
        <f>_xlfn.CONCAT(LOWER(Tabulka1[[#This Row],[příjmení bez mezer]]),".",LOWER(Tabulka1[[#This Row],[Jmeno bez mezer]]),"@firmaabc.cz")</f>
        <v>rihackova.emilie@firmaabc.cz</v>
      </c>
      <c r="I419" s="2" t="str">
        <f>_xlfn.CONCAT(LOWER(LEFT(Tabulka1[[#This Row],[příjmení bez mezer]],3)),UPPER(RIGHT(Tabulka1[[#This Row],[Jmeno bez mezer]],2)))</f>
        <v>rihIE</v>
      </c>
      <c r="J419" s="2" t="s">
        <v>1538</v>
      </c>
      <c r="K419" s="2" t="s">
        <v>1950</v>
      </c>
      <c r="L419" s="3" t="s">
        <v>2426</v>
      </c>
    </row>
    <row r="420" spans="1:12" ht="30" x14ac:dyDescent="0.25">
      <c r="A420" s="2" t="s">
        <v>949</v>
      </c>
      <c r="B420" t="s">
        <v>135</v>
      </c>
      <c r="C420" t="s">
        <v>950</v>
      </c>
      <c r="D420" t="str">
        <f>TRIM(Tabulka1[[#This Row],[Jméno]])</f>
        <v>Ondrej</v>
      </c>
      <c r="E420" t="str">
        <f>TRIM(Tabulka1[[#This Row],[Příjmení]])</f>
        <v>Sedivy</v>
      </c>
      <c r="F420" s="2" t="str">
        <f>MID(Tabulka1[[#This Row],[Adresa]],1,SEARCH(",",Tabulka1[[#This Row],[Adresa]])-1)</f>
        <v>Družstevní 1145</v>
      </c>
      <c r="G420" s="2" t="str">
        <f>RIGHT(Tabulka1[[#This Row],[Adresa]],LEN(Tabulka1[[#This Row],[Adresa]])-LEN(Tabulka1[[#This Row],[Ulice]])-1)</f>
        <v>Oleksovice</v>
      </c>
      <c r="H420" s="2" t="str">
        <f>_xlfn.CONCAT(LOWER(Tabulka1[[#This Row],[příjmení bez mezer]]),".",LOWER(Tabulka1[[#This Row],[Jmeno bez mezer]]),"@firmaabc.cz")</f>
        <v>sedivy.ondrej@firmaabc.cz</v>
      </c>
      <c r="I420" s="2" t="str">
        <f>_xlfn.CONCAT(LOWER(LEFT(Tabulka1[[#This Row],[příjmení bez mezer]],3)),UPPER(RIGHT(Tabulka1[[#This Row],[Jmeno bez mezer]],2)))</f>
        <v>sedEJ</v>
      </c>
      <c r="J420" s="2" t="s">
        <v>1539</v>
      </c>
      <c r="K420" s="2" t="s">
        <v>1951</v>
      </c>
      <c r="L420" s="3" t="s">
        <v>2427</v>
      </c>
    </row>
    <row r="421" spans="1:12" ht="30" x14ac:dyDescent="0.25">
      <c r="A421" s="2" t="s">
        <v>951</v>
      </c>
      <c r="B421" t="s">
        <v>253</v>
      </c>
      <c r="C421" t="s">
        <v>952</v>
      </c>
      <c r="D421" t="str">
        <f>TRIM(Tabulka1[[#This Row],[Jméno]])</f>
        <v>Eva</v>
      </c>
      <c r="E421" t="str">
        <f>TRIM(Tabulka1[[#This Row],[Příjmení]])</f>
        <v>Mikulenkova</v>
      </c>
      <c r="F421" s="2" t="str">
        <f>MID(Tabulka1[[#This Row],[Adresa]],1,SEARCH(",",Tabulka1[[#This Row],[Adresa]])-1)</f>
        <v>Vrchlického 410</v>
      </c>
      <c r="G421" s="2" t="str">
        <f>RIGHT(Tabulka1[[#This Row],[Adresa]],LEN(Tabulka1[[#This Row],[Adresa]])-LEN(Tabulka1[[#This Row],[Ulice]])-1)</f>
        <v>Tišnov 1</v>
      </c>
      <c r="H421" s="2" t="str">
        <f>_xlfn.CONCAT(LOWER(Tabulka1[[#This Row],[příjmení bez mezer]]),".",LOWER(Tabulka1[[#This Row],[Jmeno bez mezer]]),"@firmaabc.cz")</f>
        <v>mikulenkova.eva@firmaabc.cz</v>
      </c>
      <c r="I421" s="2" t="str">
        <f>_xlfn.CONCAT(LOWER(LEFT(Tabulka1[[#This Row],[příjmení bez mezer]],3)),UPPER(RIGHT(Tabulka1[[#This Row],[Jmeno bez mezer]],2)))</f>
        <v>mikVA</v>
      </c>
      <c r="J421" s="2" t="s">
        <v>1540</v>
      </c>
      <c r="K421" s="2" t="s">
        <v>1771</v>
      </c>
      <c r="L421" s="3" t="s">
        <v>2428</v>
      </c>
    </row>
    <row r="422" spans="1:12" x14ac:dyDescent="0.25">
      <c r="A422" s="2" t="s">
        <v>953</v>
      </c>
      <c r="B422" t="s">
        <v>45</v>
      </c>
      <c r="C422" t="s">
        <v>954</v>
      </c>
      <c r="D422" t="str">
        <f>TRIM(Tabulka1[[#This Row],[Jméno]])</f>
        <v>Tomas</v>
      </c>
      <c r="E422" t="str">
        <f>TRIM(Tabulka1[[#This Row],[Příjmení]])</f>
        <v>Macoun</v>
      </c>
      <c r="F422" s="2" t="str">
        <f>MID(Tabulka1[[#This Row],[Adresa]],1,SEARCH(",",Tabulka1[[#This Row],[Adresa]])-1)</f>
        <v>Polní 267</v>
      </c>
      <c r="G422" s="2" t="str">
        <f>RIGHT(Tabulka1[[#This Row],[Adresa]],LEN(Tabulka1[[#This Row],[Adresa]])-LEN(Tabulka1[[#This Row],[Ulice]])-1)</f>
        <v>Nýrany</v>
      </c>
      <c r="H422" s="2" t="str">
        <f>_xlfn.CONCAT(LOWER(Tabulka1[[#This Row],[příjmení bez mezer]]),".",LOWER(Tabulka1[[#This Row],[Jmeno bez mezer]]),"@firmaabc.cz")</f>
        <v>macoun.tomas@firmaabc.cz</v>
      </c>
      <c r="I422" s="2" t="str">
        <f>_xlfn.CONCAT(LOWER(LEFT(Tabulka1[[#This Row],[příjmení bez mezer]],3)),UPPER(RIGHT(Tabulka1[[#This Row],[Jmeno bez mezer]],2)))</f>
        <v>macAS</v>
      </c>
      <c r="J422" s="2" t="s">
        <v>1541</v>
      </c>
      <c r="K422" s="2" t="s">
        <v>1952</v>
      </c>
      <c r="L422" s="3" t="s">
        <v>2429</v>
      </c>
    </row>
    <row r="423" spans="1:12" ht="30" x14ac:dyDescent="0.25">
      <c r="A423" s="2" t="s">
        <v>955</v>
      </c>
      <c r="B423" t="s">
        <v>178</v>
      </c>
      <c r="C423" t="s">
        <v>956</v>
      </c>
      <c r="D423" t="str">
        <f>TRIM(Tabulka1[[#This Row],[Jméno]])</f>
        <v>Jaroslav</v>
      </c>
      <c r="E423" t="str">
        <f>TRIM(Tabulka1[[#This Row],[Příjmení]])</f>
        <v>Husar</v>
      </c>
      <c r="F423" s="2" t="str">
        <f>MID(Tabulka1[[#This Row],[Adresa]],1,SEARCH(",",Tabulka1[[#This Row],[Adresa]])-1)</f>
        <v>Nezvalova 614</v>
      </c>
      <c r="G423" s="2" t="str">
        <f>RIGHT(Tabulka1[[#This Row],[Adresa]],LEN(Tabulka1[[#This Row],[Adresa]])-LEN(Tabulka1[[#This Row],[Ulice]])-1)</f>
        <v>Benešov u Prahy</v>
      </c>
      <c r="H423" s="2" t="str">
        <f>_xlfn.CONCAT(LOWER(Tabulka1[[#This Row],[příjmení bez mezer]]),".",LOWER(Tabulka1[[#This Row],[Jmeno bez mezer]]),"@firmaabc.cz")</f>
        <v>husar.jaroslav@firmaabc.cz</v>
      </c>
      <c r="I423" s="2" t="str">
        <f>_xlfn.CONCAT(LOWER(LEFT(Tabulka1[[#This Row],[příjmení bez mezer]],3)),UPPER(RIGHT(Tabulka1[[#This Row],[Jmeno bez mezer]],2)))</f>
        <v>husAV</v>
      </c>
      <c r="J423" s="2" t="s">
        <v>1542</v>
      </c>
      <c r="K423" s="2" t="s">
        <v>1953</v>
      </c>
      <c r="L423" s="3" t="s">
        <v>2430</v>
      </c>
    </row>
    <row r="424" spans="1:12" x14ac:dyDescent="0.25">
      <c r="A424" s="2" t="s">
        <v>957</v>
      </c>
      <c r="B424" t="s">
        <v>506</v>
      </c>
      <c r="C424" t="s">
        <v>958</v>
      </c>
      <c r="D424" t="str">
        <f>TRIM(Tabulka1[[#This Row],[Jméno]])</f>
        <v>Ivan</v>
      </c>
      <c r="E424" t="str">
        <f>TRIM(Tabulka1[[#This Row],[Příjmení]])</f>
        <v>Havel</v>
      </c>
      <c r="F424" s="2" t="str">
        <f>MID(Tabulka1[[#This Row],[Adresa]],1,SEARCH(",",Tabulka1[[#This Row],[Adresa]])-1)</f>
        <v>Stožická 57</v>
      </c>
      <c r="G424" s="2" t="str">
        <f>RIGHT(Tabulka1[[#This Row],[Adresa]],LEN(Tabulka1[[#This Row],[Adresa]])-LEN(Tabulka1[[#This Row],[Ulice]])-1)</f>
        <v>Vodnany</v>
      </c>
      <c r="H424" s="2" t="str">
        <f>_xlfn.CONCAT(LOWER(Tabulka1[[#This Row],[příjmení bez mezer]]),".",LOWER(Tabulka1[[#This Row],[Jmeno bez mezer]]),"@firmaabc.cz")</f>
        <v>havel.ivan@firmaabc.cz</v>
      </c>
      <c r="I424" s="2" t="str">
        <f>_xlfn.CONCAT(LOWER(LEFT(Tabulka1[[#This Row],[příjmení bez mezer]],3)),UPPER(RIGHT(Tabulka1[[#This Row],[Jmeno bez mezer]],2)))</f>
        <v>havAN</v>
      </c>
      <c r="J424" s="2" t="s">
        <v>1543</v>
      </c>
      <c r="K424" s="2" t="s">
        <v>1624</v>
      </c>
      <c r="L424" s="3" t="s">
        <v>2431</v>
      </c>
    </row>
    <row r="425" spans="1:12" ht="60" x14ac:dyDescent="0.25">
      <c r="A425" s="2" t="s">
        <v>959</v>
      </c>
      <c r="B425" t="s">
        <v>960</v>
      </c>
      <c r="C425" t="s">
        <v>961</v>
      </c>
      <c r="D425" t="str">
        <f>TRIM(Tabulka1[[#This Row],[Jméno]])</f>
        <v>Simona</v>
      </c>
      <c r="E425" t="str">
        <f>TRIM(Tabulka1[[#This Row],[Příjmení]])</f>
        <v>Vykopalova</v>
      </c>
      <c r="F425" s="2" t="str">
        <f>MID(Tabulka1[[#This Row],[Adresa]],1,SEARCH(",",Tabulka1[[#This Row],[Adresa]])-1)</f>
        <v>Sokolovská 1459</v>
      </c>
      <c r="G425" s="2" t="str">
        <f>RIGHT(Tabulka1[[#This Row],[Adresa]],LEN(Tabulka1[[#This Row],[Adresa]])-LEN(Tabulka1[[#This Row],[Ulice]])-1)</f>
        <v>Lomnice u Rýmarova</v>
      </c>
      <c r="H425" s="2" t="str">
        <f>_xlfn.CONCAT(LOWER(Tabulka1[[#This Row],[příjmení bez mezer]]),".",LOWER(Tabulka1[[#This Row],[Jmeno bez mezer]]),"@firmaabc.cz")</f>
        <v>vykopalova.simona@firmaabc.cz</v>
      </c>
      <c r="I425" s="2" t="str">
        <f>_xlfn.CONCAT(LOWER(LEFT(Tabulka1[[#This Row],[příjmení bez mezer]],3)),UPPER(RIGHT(Tabulka1[[#This Row],[Jmeno bez mezer]],2)))</f>
        <v>vykNA</v>
      </c>
      <c r="J425" s="2" t="s">
        <v>1544</v>
      </c>
      <c r="K425" s="2" t="s">
        <v>1954</v>
      </c>
      <c r="L425" s="3" t="s">
        <v>2432</v>
      </c>
    </row>
    <row r="426" spans="1:12" ht="30" x14ac:dyDescent="0.25">
      <c r="A426" s="2" t="s">
        <v>962</v>
      </c>
      <c r="B426" t="s">
        <v>135</v>
      </c>
      <c r="C426" t="s">
        <v>963</v>
      </c>
      <c r="D426" t="str">
        <f>TRIM(Tabulka1[[#This Row],[Jméno]])</f>
        <v>Ondrej</v>
      </c>
      <c r="E426" t="str">
        <f>TRIM(Tabulka1[[#This Row],[Příjmení]])</f>
        <v>Pospisil</v>
      </c>
      <c r="F426" s="2" t="str">
        <f>MID(Tabulka1[[#This Row],[Adresa]],1,SEARCH(",",Tabulka1[[#This Row],[Adresa]])-1)</f>
        <v>Bartákova 257</v>
      </c>
      <c r="G426" s="2" t="str">
        <f>RIGHT(Tabulka1[[#This Row],[Adresa]],LEN(Tabulka1[[#This Row],[Adresa]])-LEN(Tabulka1[[#This Row],[Ulice]])-1)</f>
        <v>Plumlov</v>
      </c>
      <c r="H426" s="2" t="str">
        <f>_xlfn.CONCAT(LOWER(Tabulka1[[#This Row],[příjmení bez mezer]]),".",LOWER(Tabulka1[[#This Row],[Jmeno bez mezer]]),"@firmaabc.cz")</f>
        <v>pospisil.ondrej@firmaabc.cz</v>
      </c>
      <c r="I426" s="2" t="str">
        <f>_xlfn.CONCAT(LOWER(LEFT(Tabulka1[[#This Row],[příjmení bez mezer]],3)),UPPER(RIGHT(Tabulka1[[#This Row],[Jmeno bez mezer]],2)))</f>
        <v>posEJ</v>
      </c>
      <c r="J426" s="2" t="s">
        <v>1545</v>
      </c>
      <c r="K426" s="2" t="s">
        <v>1897</v>
      </c>
      <c r="L426" s="3" t="s">
        <v>2433</v>
      </c>
    </row>
    <row r="427" spans="1:12" x14ac:dyDescent="0.25">
      <c r="A427" s="2" t="s">
        <v>964</v>
      </c>
      <c r="B427" t="s">
        <v>965</v>
      </c>
      <c r="C427" t="s">
        <v>966</v>
      </c>
      <c r="D427" t="str">
        <f>TRIM(Tabulka1[[#This Row],[Jméno]])</f>
        <v>Ales</v>
      </c>
      <c r="E427" t="str">
        <f>TRIM(Tabulka1[[#This Row],[Příjmení]])</f>
        <v>Mares</v>
      </c>
      <c r="F427" s="2" t="str">
        <f>MID(Tabulka1[[#This Row],[Adresa]],1,SEARCH(",",Tabulka1[[#This Row],[Adresa]])-1)</f>
        <v>Luční 970</v>
      </c>
      <c r="G427" s="2" t="str">
        <f>RIGHT(Tabulka1[[#This Row],[Adresa]],LEN(Tabulka1[[#This Row],[Adresa]])-LEN(Tabulka1[[#This Row],[Ulice]])-1)</f>
        <v>Vír</v>
      </c>
      <c r="H427" s="2" t="str">
        <f>_xlfn.CONCAT(LOWER(Tabulka1[[#This Row],[příjmení bez mezer]]),".",LOWER(Tabulka1[[#This Row],[Jmeno bez mezer]]),"@firmaabc.cz")</f>
        <v>mares.ales@firmaabc.cz</v>
      </c>
      <c r="I427" s="2" t="str">
        <f>_xlfn.CONCAT(LOWER(LEFT(Tabulka1[[#This Row],[příjmení bez mezer]],3)),UPPER(RIGHT(Tabulka1[[#This Row],[Jmeno bez mezer]],2)))</f>
        <v>marES</v>
      </c>
      <c r="J427" s="2" t="s">
        <v>1546</v>
      </c>
      <c r="K427" s="2" t="s">
        <v>1955</v>
      </c>
      <c r="L427" s="3" t="s">
        <v>2434</v>
      </c>
    </row>
    <row r="428" spans="1:12" ht="30" x14ac:dyDescent="0.25">
      <c r="A428" s="2" t="s">
        <v>967</v>
      </c>
      <c r="B428" t="s">
        <v>410</v>
      </c>
      <c r="C428" t="s">
        <v>968</v>
      </c>
      <c r="D428" t="str">
        <f>TRIM(Tabulka1[[#This Row],[Jméno]])</f>
        <v>Michaela</v>
      </c>
      <c r="E428" t="str">
        <f>TRIM(Tabulka1[[#This Row],[Příjmení]])</f>
        <v>Simonova</v>
      </c>
      <c r="F428" s="2" t="str">
        <f>MID(Tabulka1[[#This Row],[Adresa]],1,SEARCH(",",Tabulka1[[#This Row],[Adresa]])-1)</f>
        <v>Třebčická 548</v>
      </c>
      <c r="G428" s="2" t="str">
        <f>RIGHT(Tabulka1[[#This Row],[Adresa]],LEN(Tabulka1[[#This Row],[Adresa]])-LEN(Tabulka1[[#This Row],[Ulice]])-1)</f>
        <v>Preštice</v>
      </c>
      <c r="H428" s="2" t="str">
        <f>_xlfn.CONCAT(LOWER(Tabulka1[[#This Row],[příjmení bez mezer]]),".",LOWER(Tabulka1[[#This Row],[Jmeno bez mezer]]),"@firmaabc.cz")</f>
        <v>simonova.michaela@firmaabc.cz</v>
      </c>
      <c r="I428" s="2" t="str">
        <f>_xlfn.CONCAT(LOWER(LEFT(Tabulka1[[#This Row],[příjmení bez mezer]],3)),UPPER(RIGHT(Tabulka1[[#This Row],[Jmeno bez mezer]],2)))</f>
        <v>simLA</v>
      </c>
      <c r="J428" s="2" t="s">
        <v>1547</v>
      </c>
      <c r="K428" s="2" t="s">
        <v>1956</v>
      </c>
      <c r="L428" s="3" t="s">
        <v>2435</v>
      </c>
    </row>
    <row r="429" spans="1:12" ht="45" x14ac:dyDescent="0.25">
      <c r="A429" s="2" t="s">
        <v>969</v>
      </c>
      <c r="B429" t="s">
        <v>113</v>
      </c>
      <c r="C429" t="s">
        <v>970</v>
      </c>
      <c r="D429" t="str">
        <f>TRIM(Tabulka1[[#This Row],[Jméno]])</f>
        <v>Jiri</v>
      </c>
      <c r="E429" t="str">
        <f>TRIM(Tabulka1[[#This Row],[Příjmení]])</f>
        <v>Horejsi</v>
      </c>
      <c r="F429" s="2" t="str">
        <f>MID(Tabulka1[[#This Row],[Adresa]],1,SEARCH(",",Tabulka1[[#This Row],[Adresa]])-1)</f>
        <v>Československé legií 1895</v>
      </c>
      <c r="G429" s="2" t="str">
        <f>RIGHT(Tabulka1[[#This Row],[Adresa]],LEN(Tabulka1[[#This Row],[Adresa]])-LEN(Tabulka1[[#This Row],[Ulice]])-1)</f>
        <v>Želatovice</v>
      </c>
      <c r="H429" s="2" t="str">
        <f>_xlfn.CONCAT(LOWER(Tabulka1[[#This Row],[příjmení bez mezer]]),".",LOWER(Tabulka1[[#This Row],[Jmeno bez mezer]]),"@firmaabc.cz")</f>
        <v>horejsi.jiri@firmaabc.cz</v>
      </c>
      <c r="I429" s="2" t="str">
        <f>_xlfn.CONCAT(LOWER(LEFT(Tabulka1[[#This Row],[příjmení bez mezer]],3)),UPPER(RIGHT(Tabulka1[[#This Row],[Jmeno bez mezer]],2)))</f>
        <v>horRI</v>
      </c>
      <c r="J429" s="2" t="s">
        <v>1548</v>
      </c>
      <c r="K429" s="2" t="s">
        <v>1957</v>
      </c>
      <c r="L429" s="3" t="s">
        <v>2436</v>
      </c>
    </row>
    <row r="430" spans="1:12" ht="30" x14ac:dyDescent="0.25">
      <c r="A430" s="2" t="s">
        <v>971</v>
      </c>
      <c r="B430" t="s">
        <v>972</v>
      </c>
      <c r="C430" t="s">
        <v>973</v>
      </c>
      <c r="D430" t="str">
        <f>TRIM(Tabulka1[[#This Row],[Jméno]])</f>
        <v>Libuse</v>
      </c>
      <c r="E430" t="str">
        <f>TRIM(Tabulka1[[#This Row],[Příjmení]])</f>
        <v>Hanusova</v>
      </c>
      <c r="F430" s="2" t="str">
        <f>MID(Tabulka1[[#This Row],[Adresa]],1,SEARCH(",",Tabulka1[[#This Row],[Adresa]])-1)</f>
        <v>Vostelčická 1873</v>
      </c>
      <c r="G430" s="2" t="str">
        <f>RIGHT(Tabulka1[[#This Row],[Adresa]],LEN(Tabulka1[[#This Row],[Adresa]])-LEN(Tabulka1[[#This Row],[Ulice]])-1)</f>
        <v>Svitavy 2</v>
      </c>
      <c r="H430" s="2" t="str">
        <f>_xlfn.CONCAT(LOWER(Tabulka1[[#This Row],[příjmení bez mezer]]),".",LOWER(Tabulka1[[#This Row],[Jmeno bez mezer]]),"@firmaabc.cz")</f>
        <v>hanusova.libuse@firmaabc.cz</v>
      </c>
      <c r="I430" s="2" t="str">
        <f>_xlfn.CONCAT(LOWER(LEFT(Tabulka1[[#This Row],[příjmení bez mezer]],3)),UPPER(RIGHT(Tabulka1[[#This Row],[Jmeno bez mezer]],2)))</f>
        <v>hanSE</v>
      </c>
      <c r="J430" s="2" t="s">
        <v>1549</v>
      </c>
      <c r="K430" s="2" t="s">
        <v>1823</v>
      </c>
      <c r="L430" s="3" t="s">
        <v>2437</v>
      </c>
    </row>
    <row r="431" spans="1:12" ht="30" x14ac:dyDescent="0.25">
      <c r="A431" s="2" t="s">
        <v>974</v>
      </c>
      <c r="B431" t="s">
        <v>70</v>
      </c>
      <c r="C431" t="s">
        <v>975</v>
      </c>
      <c r="D431" t="str">
        <f>TRIM(Tabulka1[[#This Row],[Jméno]])</f>
        <v>Jakub</v>
      </c>
      <c r="E431" t="str">
        <f>TRIM(Tabulka1[[#This Row],[Příjmení]])</f>
        <v>Hendrych</v>
      </c>
      <c r="F431" s="2" t="str">
        <f>MID(Tabulka1[[#This Row],[Adresa]],1,SEARCH(",",Tabulka1[[#This Row],[Adresa]])-1)</f>
        <v>Bavorovská 543</v>
      </c>
      <c r="G431" s="2" t="str">
        <f>RIGHT(Tabulka1[[#This Row],[Adresa]],LEN(Tabulka1[[#This Row],[Adresa]])-LEN(Tabulka1[[#This Row],[Ulice]])-1)</f>
        <v>Ckyne</v>
      </c>
      <c r="H431" s="2" t="str">
        <f>_xlfn.CONCAT(LOWER(Tabulka1[[#This Row],[příjmení bez mezer]]),".",LOWER(Tabulka1[[#This Row],[Jmeno bez mezer]]),"@firmaabc.cz")</f>
        <v>hendrych.jakub@firmaabc.cz</v>
      </c>
      <c r="I431" s="2" t="str">
        <f>_xlfn.CONCAT(LOWER(LEFT(Tabulka1[[#This Row],[příjmení bez mezer]],3)),UPPER(RIGHT(Tabulka1[[#This Row],[Jmeno bez mezer]],2)))</f>
        <v>henUB</v>
      </c>
      <c r="J431" s="2" t="s">
        <v>1550</v>
      </c>
      <c r="K431" s="2" t="s">
        <v>1958</v>
      </c>
      <c r="L431" s="3" t="s">
        <v>2438</v>
      </c>
    </row>
    <row r="432" spans="1:12" ht="30" x14ac:dyDescent="0.25">
      <c r="A432" s="2" t="s">
        <v>976</v>
      </c>
      <c r="B432" t="s">
        <v>24</v>
      </c>
      <c r="C432" t="s">
        <v>977</v>
      </c>
      <c r="D432" t="str">
        <f>TRIM(Tabulka1[[#This Row],[Jméno]])</f>
        <v>Jan</v>
      </c>
      <c r="E432" t="str">
        <f>TRIM(Tabulka1[[#This Row],[Příjmení]])</f>
        <v>Nosek</v>
      </c>
      <c r="F432" s="2" t="str">
        <f>MID(Tabulka1[[#This Row],[Adresa]],1,SEARCH(",",Tabulka1[[#This Row],[Adresa]])-1)</f>
        <v>Spojovací 1527</v>
      </c>
      <c r="G432" s="2" t="str">
        <f>RIGHT(Tabulka1[[#This Row],[Adresa]],LEN(Tabulka1[[#This Row],[Adresa]])-LEN(Tabulka1[[#This Row],[Ulice]])-1)</f>
        <v>Okríšky</v>
      </c>
      <c r="H432" s="2" t="str">
        <f>_xlfn.CONCAT(LOWER(Tabulka1[[#This Row],[příjmení bez mezer]]),".",LOWER(Tabulka1[[#This Row],[Jmeno bez mezer]]),"@firmaabc.cz")</f>
        <v>nosek.jan@firmaabc.cz</v>
      </c>
      <c r="I432" s="2" t="str">
        <f>_xlfn.CONCAT(LOWER(LEFT(Tabulka1[[#This Row],[příjmení bez mezer]],3)),UPPER(RIGHT(Tabulka1[[#This Row],[Jmeno bez mezer]],2)))</f>
        <v>nosAN</v>
      </c>
      <c r="J432" s="2" t="s">
        <v>1551</v>
      </c>
      <c r="K432" s="2" t="s">
        <v>1959</v>
      </c>
      <c r="L432" s="3" t="s">
        <v>2439</v>
      </c>
    </row>
    <row r="433" spans="1:12" ht="45" x14ac:dyDescent="0.25">
      <c r="A433" s="2" t="s">
        <v>978</v>
      </c>
      <c r="B433" t="s">
        <v>79</v>
      </c>
      <c r="C433" t="s">
        <v>979</v>
      </c>
      <c r="D433" t="str">
        <f>TRIM(Tabulka1[[#This Row],[Jméno]])</f>
        <v>Miroslav</v>
      </c>
      <c r="E433" t="str">
        <f>TRIM(Tabulka1[[#This Row],[Příjmení]])</f>
        <v>Petera</v>
      </c>
      <c r="F433" s="2" t="str">
        <f>MID(Tabulka1[[#This Row],[Adresa]],1,SEARCH(",",Tabulka1[[#This Row],[Adresa]])-1)</f>
        <v>Štefanikova 380</v>
      </c>
      <c r="G433" s="2" t="str">
        <f>RIGHT(Tabulka1[[#This Row],[Adresa]],LEN(Tabulka1[[#This Row],[Adresa]])-LEN(Tabulka1[[#This Row],[Ulice]])-1)</f>
        <v>Olešnice na Morave</v>
      </c>
      <c r="H433" s="2" t="str">
        <f>_xlfn.CONCAT(LOWER(Tabulka1[[#This Row],[příjmení bez mezer]]),".",LOWER(Tabulka1[[#This Row],[Jmeno bez mezer]]),"@firmaabc.cz")</f>
        <v>petera.miroslav@firmaabc.cz</v>
      </c>
      <c r="I433" s="2" t="str">
        <f>_xlfn.CONCAT(LOWER(LEFT(Tabulka1[[#This Row],[příjmení bez mezer]],3)),UPPER(RIGHT(Tabulka1[[#This Row],[Jmeno bez mezer]],2)))</f>
        <v>petAV</v>
      </c>
      <c r="J433" s="2" t="s">
        <v>1552</v>
      </c>
      <c r="K433" s="2" t="s">
        <v>1760</v>
      </c>
      <c r="L433" s="3" t="s">
        <v>2440</v>
      </c>
    </row>
    <row r="434" spans="1:12" x14ac:dyDescent="0.25">
      <c r="A434" s="2" t="s">
        <v>980</v>
      </c>
      <c r="B434" t="s">
        <v>178</v>
      </c>
      <c r="C434" t="s">
        <v>981</v>
      </c>
      <c r="D434" t="str">
        <f>TRIM(Tabulka1[[#This Row],[Jméno]])</f>
        <v>Jaroslav</v>
      </c>
      <c r="E434" t="str">
        <f>TRIM(Tabulka1[[#This Row],[Příjmení]])</f>
        <v>Richter</v>
      </c>
      <c r="F434" s="2" t="str">
        <f>MID(Tabulka1[[#This Row],[Adresa]],1,SEARCH(",",Tabulka1[[#This Row],[Adresa]])-1)</f>
        <v>Střední 324</v>
      </c>
      <c r="G434" s="2" t="str">
        <f>RIGHT(Tabulka1[[#This Row],[Adresa]],LEN(Tabulka1[[#This Row],[Adresa]])-LEN(Tabulka1[[#This Row],[Ulice]])-1)</f>
        <v>Žihle</v>
      </c>
      <c r="H434" s="2" t="str">
        <f>_xlfn.CONCAT(LOWER(Tabulka1[[#This Row],[příjmení bez mezer]]),".",LOWER(Tabulka1[[#This Row],[Jmeno bez mezer]]),"@firmaabc.cz")</f>
        <v>richter.jaroslav@firmaabc.cz</v>
      </c>
      <c r="I434" s="2" t="str">
        <f>_xlfn.CONCAT(LOWER(LEFT(Tabulka1[[#This Row],[příjmení bez mezer]],3)),UPPER(RIGHT(Tabulka1[[#This Row],[Jmeno bez mezer]],2)))</f>
        <v>ricAV</v>
      </c>
      <c r="J434" s="2" t="s">
        <v>1553</v>
      </c>
      <c r="K434" s="2" t="s">
        <v>1960</v>
      </c>
      <c r="L434" s="3" t="s">
        <v>2441</v>
      </c>
    </row>
    <row r="435" spans="1:12" ht="30" x14ac:dyDescent="0.25">
      <c r="A435" s="2" t="s">
        <v>982</v>
      </c>
      <c r="B435" t="s">
        <v>101</v>
      </c>
      <c r="C435" t="s">
        <v>983</v>
      </c>
      <c r="D435" t="str">
        <f>TRIM(Tabulka1[[#This Row],[Jméno]])</f>
        <v>Frantisek</v>
      </c>
      <c r="E435" t="str">
        <f>TRIM(Tabulka1[[#This Row],[Příjmení]])</f>
        <v>Uhlik</v>
      </c>
      <c r="F435" s="2" t="str">
        <f>MID(Tabulka1[[#This Row],[Adresa]],1,SEARCH(",",Tabulka1[[#This Row],[Adresa]])-1)</f>
        <v>Na Výsluní 1882</v>
      </c>
      <c r="G435" s="2" t="str">
        <f>RIGHT(Tabulka1[[#This Row],[Adresa]],LEN(Tabulka1[[#This Row],[Adresa]])-LEN(Tabulka1[[#This Row],[Ulice]])-1)</f>
        <v>Cernošice</v>
      </c>
      <c r="H435" s="2" t="str">
        <f>_xlfn.CONCAT(LOWER(Tabulka1[[#This Row],[příjmení bez mezer]]),".",LOWER(Tabulka1[[#This Row],[Jmeno bez mezer]]),"@firmaabc.cz")</f>
        <v>uhlik.frantisek@firmaabc.cz</v>
      </c>
      <c r="I435" s="2" t="str">
        <f>_xlfn.CONCAT(LOWER(LEFT(Tabulka1[[#This Row],[příjmení bez mezer]],3)),UPPER(RIGHT(Tabulka1[[#This Row],[Jmeno bez mezer]],2)))</f>
        <v>uhlEK</v>
      </c>
      <c r="J435" s="2" t="s">
        <v>1554</v>
      </c>
      <c r="K435" s="2" t="s">
        <v>1961</v>
      </c>
      <c r="L435" s="3" t="s">
        <v>2442</v>
      </c>
    </row>
    <row r="436" spans="1:12" ht="30" x14ac:dyDescent="0.25">
      <c r="A436" s="2" t="s">
        <v>984</v>
      </c>
      <c r="B436" t="s">
        <v>985</v>
      </c>
      <c r="C436" t="s">
        <v>986</v>
      </c>
      <c r="D436" t="str">
        <f>TRIM(Tabulka1[[#This Row],[Jméno]])</f>
        <v>Kateryna</v>
      </c>
      <c r="E436" t="str">
        <f>TRIM(Tabulka1[[#This Row],[Příjmení]])</f>
        <v>Preckova</v>
      </c>
      <c r="F436" s="2" t="str">
        <f>MID(Tabulka1[[#This Row],[Adresa]],1,SEARCH(",",Tabulka1[[#This Row],[Adresa]])-1)</f>
        <v>Za Školou 493</v>
      </c>
      <c r="G436" s="2" t="str">
        <f>RIGHT(Tabulka1[[#This Row],[Adresa]],LEN(Tabulka1[[#This Row],[Adresa]])-LEN(Tabulka1[[#This Row],[Ulice]])-1)</f>
        <v>Velká Bíteš</v>
      </c>
      <c r="H436" s="2" t="str">
        <f>_xlfn.CONCAT(LOWER(Tabulka1[[#This Row],[příjmení bez mezer]]),".",LOWER(Tabulka1[[#This Row],[Jmeno bez mezer]]),"@firmaabc.cz")</f>
        <v>preckova.kateryna@firmaabc.cz</v>
      </c>
      <c r="I436" s="2" t="str">
        <f>_xlfn.CONCAT(LOWER(LEFT(Tabulka1[[#This Row],[příjmení bez mezer]],3)),UPPER(RIGHT(Tabulka1[[#This Row],[Jmeno bez mezer]],2)))</f>
        <v>preNA</v>
      </c>
      <c r="J436" s="2" t="s">
        <v>1555</v>
      </c>
      <c r="K436" s="2" t="s">
        <v>1962</v>
      </c>
      <c r="L436" s="3" t="s">
        <v>2443</v>
      </c>
    </row>
    <row r="437" spans="1:12" ht="45" x14ac:dyDescent="0.25">
      <c r="A437" s="2" t="s">
        <v>987</v>
      </c>
      <c r="B437" t="s">
        <v>675</v>
      </c>
      <c r="C437" t="s">
        <v>988</v>
      </c>
      <c r="D437" t="str">
        <f>TRIM(Tabulka1[[#This Row],[Jméno]])</f>
        <v>Radka</v>
      </c>
      <c r="E437" t="str">
        <f>TRIM(Tabulka1[[#This Row],[Příjmení]])</f>
        <v>Kadlecova</v>
      </c>
      <c r="F437" s="2" t="str">
        <f>MID(Tabulka1[[#This Row],[Adresa]],1,SEARCH(",",Tabulka1[[#This Row],[Adresa]])-1)</f>
        <v>Sídliště Za Chlumem 1378</v>
      </c>
      <c r="G437" s="2" t="str">
        <f>RIGHT(Tabulka1[[#This Row],[Adresa]],LEN(Tabulka1[[#This Row],[Adresa]])-LEN(Tabulka1[[#This Row],[Ulice]])-1)</f>
        <v>Jirkov 1</v>
      </c>
      <c r="H437" s="2" t="str">
        <f>_xlfn.CONCAT(LOWER(Tabulka1[[#This Row],[příjmení bez mezer]]),".",LOWER(Tabulka1[[#This Row],[Jmeno bez mezer]]),"@firmaabc.cz")</f>
        <v>kadlecova.radka@firmaabc.cz</v>
      </c>
      <c r="I437" s="2" t="str">
        <f>_xlfn.CONCAT(LOWER(LEFT(Tabulka1[[#This Row],[příjmení bez mezer]],3)),UPPER(RIGHT(Tabulka1[[#This Row],[Jmeno bez mezer]],2)))</f>
        <v>kadKA</v>
      </c>
      <c r="J437" s="2" t="s">
        <v>1556</v>
      </c>
      <c r="K437" s="2" t="s">
        <v>1963</v>
      </c>
      <c r="L437" s="3" t="s">
        <v>2444</v>
      </c>
    </row>
    <row r="438" spans="1:12" ht="30" x14ac:dyDescent="0.25">
      <c r="A438" s="2" t="s">
        <v>989</v>
      </c>
      <c r="B438" t="s">
        <v>50</v>
      </c>
      <c r="C438" t="s">
        <v>990</v>
      </c>
      <c r="D438" t="str">
        <f>TRIM(Tabulka1[[#This Row],[Jméno]])</f>
        <v>Ludmila</v>
      </c>
      <c r="E438" t="str">
        <f>TRIM(Tabulka1[[#This Row],[Příjmení]])</f>
        <v>Zaveska</v>
      </c>
      <c r="F438" s="2" t="str">
        <f>MID(Tabulka1[[#This Row],[Adresa]],1,SEARCH(",",Tabulka1[[#This Row],[Adresa]])-1)</f>
        <v>Velký průhon 808</v>
      </c>
      <c r="G438" s="2" t="str">
        <f>RIGHT(Tabulka1[[#This Row],[Adresa]],LEN(Tabulka1[[#This Row],[Adresa]])-LEN(Tabulka1[[#This Row],[Ulice]])-1)</f>
        <v>Mestec Králové</v>
      </c>
      <c r="H438" s="2" t="str">
        <f>_xlfn.CONCAT(LOWER(Tabulka1[[#This Row],[příjmení bez mezer]]),".",LOWER(Tabulka1[[#This Row],[Jmeno bez mezer]]),"@firmaabc.cz")</f>
        <v>zaveska.ludmila@firmaabc.cz</v>
      </c>
      <c r="I438" s="2" t="str">
        <f>_xlfn.CONCAT(LOWER(LEFT(Tabulka1[[#This Row],[příjmení bez mezer]],3)),UPPER(RIGHT(Tabulka1[[#This Row],[Jmeno bez mezer]],2)))</f>
        <v>zavLA</v>
      </c>
      <c r="J438" s="2" t="s">
        <v>1557</v>
      </c>
      <c r="K438" s="2" t="s">
        <v>1964</v>
      </c>
      <c r="L438" s="3" t="s">
        <v>2445</v>
      </c>
    </row>
    <row r="439" spans="1:12" x14ac:dyDescent="0.25">
      <c r="A439" s="2" t="s">
        <v>991</v>
      </c>
      <c r="B439" t="s">
        <v>88</v>
      </c>
      <c r="C439" t="s">
        <v>992</v>
      </c>
      <c r="D439" t="str">
        <f>TRIM(Tabulka1[[#This Row],[Jméno]])</f>
        <v>Pavel</v>
      </c>
      <c r="E439" t="str">
        <f>TRIM(Tabulka1[[#This Row],[Příjmení]])</f>
        <v>Kabicek</v>
      </c>
      <c r="F439" s="2" t="str">
        <f>MID(Tabulka1[[#This Row],[Adresa]],1,SEARCH(",",Tabulka1[[#This Row],[Adresa]])-1)</f>
        <v>Horní 896</v>
      </c>
      <c r="G439" s="2" t="str">
        <f>RIGHT(Tabulka1[[#This Row],[Adresa]],LEN(Tabulka1[[#This Row],[Adresa]])-LEN(Tabulka1[[#This Row],[Ulice]])-1)</f>
        <v>Kolovec</v>
      </c>
      <c r="H439" s="2" t="str">
        <f>_xlfn.CONCAT(LOWER(Tabulka1[[#This Row],[příjmení bez mezer]]),".",LOWER(Tabulka1[[#This Row],[Jmeno bez mezer]]),"@firmaabc.cz")</f>
        <v>kabicek.pavel@firmaabc.cz</v>
      </c>
      <c r="I439" s="2" t="str">
        <f>_xlfn.CONCAT(LOWER(LEFT(Tabulka1[[#This Row],[příjmení bez mezer]],3)),UPPER(RIGHT(Tabulka1[[#This Row],[Jmeno bez mezer]],2)))</f>
        <v>kabEL</v>
      </c>
      <c r="J439" s="2" t="s">
        <v>1558</v>
      </c>
      <c r="K439" s="2" t="s">
        <v>1965</v>
      </c>
      <c r="L439" s="3" t="s">
        <v>2446</v>
      </c>
    </row>
    <row r="440" spans="1:12" ht="30" x14ac:dyDescent="0.25">
      <c r="A440" s="2" t="s">
        <v>993</v>
      </c>
      <c r="B440" t="s">
        <v>994</v>
      </c>
      <c r="C440" t="s">
        <v>995</v>
      </c>
      <c r="D440" t="str">
        <f>TRIM(Tabulka1[[#This Row],[Jméno]])</f>
        <v>Vaclav</v>
      </c>
      <c r="E440" t="str">
        <f>TRIM(Tabulka1[[#This Row],[Příjmení]])</f>
        <v>Cermak</v>
      </c>
      <c r="F440" s="2" t="str">
        <f>MID(Tabulka1[[#This Row],[Adresa]],1,SEARCH(",",Tabulka1[[#This Row],[Adresa]])-1)</f>
        <v>Družstevní 747</v>
      </c>
      <c r="G440" s="2" t="str">
        <f>RIGHT(Tabulka1[[#This Row],[Adresa]],LEN(Tabulka1[[#This Row],[Adresa]])-LEN(Tabulka1[[#This Row],[Ulice]])-1)</f>
        <v>Prosimerice</v>
      </c>
      <c r="H440" s="2" t="str">
        <f>_xlfn.CONCAT(LOWER(Tabulka1[[#This Row],[příjmení bez mezer]]),".",LOWER(Tabulka1[[#This Row],[Jmeno bez mezer]]),"@firmaabc.cz")</f>
        <v>cermak.vaclav@firmaabc.cz</v>
      </c>
      <c r="I440" s="2" t="str">
        <f>_xlfn.CONCAT(LOWER(LEFT(Tabulka1[[#This Row],[příjmení bez mezer]],3)),UPPER(RIGHT(Tabulka1[[#This Row],[Jmeno bez mezer]],2)))</f>
        <v>cerAV</v>
      </c>
      <c r="J440" s="2" t="s">
        <v>1559</v>
      </c>
      <c r="K440" s="2" t="s">
        <v>1966</v>
      </c>
      <c r="L440" s="3" t="s">
        <v>2447</v>
      </c>
    </row>
    <row r="441" spans="1:12" ht="30" x14ac:dyDescent="0.25">
      <c r="A441" s="2" t="s">
        <v>996</v>
      </c>
      <c r="B441" t="s">
        <v>45</v>
      </c>
      <c r="C441" t="s">
        <v>654</v>
      </c>
      <c r="D441" t="str">
        <f>TRIM(Tabulka1[[#This Row],[Jméno]])</f>
        <v>Tomas</v>
      </c>
      <c r="E441" t="str">
        <f>TRIM(Tabulka1[[#This Row],[Příjmení]])</f>
        <v>?Horak</v>
      </c>
      <c r="F441" s="2" t="str">
        <f>MID(Tabulka1[[#This Row],[Adresa]],1,SEARCH(",",Tabulka1[[#This Row],[Adresa]])-1)</f>
        <v>Jiráskova 1988</v>
      </c>
      <c r="G441" s="2" t="str">
        <f>RIGHT(Tabulka1[[#This Row],[Adresa]],LEN(Tabulka1[[#This Row],[Adresa]])-LEN(Tabulka1[[#This Row],[Ulice]])-1)</f>
        <v>Sec 1</v>
      </c>
      <c r="H441" s="2" t="str">
        <f>_xlfn.CONCAT(LOWER(Tabulka1[[#This Row],[příjmení bez mezer]]),".",LOWER(Tabulka1[[#This Row],[Jmeno bez mezer]]),"@firmaabc.cz")</f>
        <v>?horak.tomas@firmaabc.cz</v>
      </c>
      <c r="I441" s="2" t="str">
        <f>_xlfn.CONCAT(LOWER(LEFT(Tabulka1[[#This Row],[příjmení bez mezer]],3)),UPPER(RIGHT(Tabulka1[[#This Row],[Jmeno bez mezer]],2)))</f>
        <v>?hoAS</v>
      </c>
      <c r="J441" s="2" t="s">
        <v>1560</v>
      </c>
      <c r="K441" s="2" t="s">
        <v>1967</v>
      </c>
      <c r="L441" s="3" t="s">
        <v>2448</v>
      </c>
    </row>
    <row r="442" spans="1:12" ht="45" x14ac:dyDescent="0.25">
      <c r="A442" s="2" t="s">
        <v>997</v>
      </c>
      <c r="B442" t="s">
        <v>123</v>
      </c>
      <c r="C442" t="s">
        <v>998</v>
      </c>
      <c r="D442" t="str">
        <f>TRIM(Tabulka1[[#This Row],[Jméno]])</f>
        <v>Veronika</v>
      </c>
      <c r="E442" t="str">
        <f>TRIM(Tabulka1[[#This Row],[Příjmení]])</f>
        <v>Havlickova</v>
      </c>
      <c r="F442" s="2" t="str">
        <f>MID(Tabulka1[[#This Row],[Adresa]],1,SEARCH(",",Tabulka1[[#This Row],[Adresa]])-1)</f>
        <v>Dašická 1900</v>
      </c>
      <c r="G442" s="2" t="str">
        <f>RIGHT(Tabulka1[[#This Row],[Adresa]],LEN(Tabulka1[[#This Row],[Adresa]])-LEN(Tabulka1[[#This Row],[Ulice]])-1)</f>
        <v>Svojšice u Prelouce</v>
      </c>
      <c r="H442" s="2" t="str">
        <f>_xlfn.CONCAT(LOWER(Tabulka1[[#This Row],[příjmení bez mezer]]),".",LOWER(Tabulka1[[#This Row],[Jmeno bez mezer]]),"@firmaabc.cz")</f>
        <v>havlickova.veronika@firmaabc.cz</v>
      </c>
      <c r="I442" s="2" t="str">
        <f>_xlfn.CONCAT(LOWER(LEFT(Tabulka1[[#This Row],[příjmení bez mezer]],3)),UPPER(RIGHT(Tabulka1[[#This Row],[Jmeno bez mezer]],2)))</f>
        <v>havKA</v>
      </c>
      <c r="J442" s="2" t="s">
        <v>1561</v>
      </c>
      <c r="K442" s="2" t="s">
        <v>1968</v>
      </c>
      <c r="L442" s="3" t="s">
        <v>2449</v>
      </c>
    </row>
    <row r="443" spans="1:12" ht="45" x14ac:dyDescent="0.25">
      <c r="A443" s="2" t="s">
        <v>999</v>
      </c>
      <c r="B443" t="s">
        <v>101</v>
      </c>
      <c r="C443" t="s">
        <v>1000</v>
      </c>
      <c r="D443" t="str">
        <f>TRIM(Tabulka1[[#This Row],[Jméno]])</f>
        <v>Frantisek</v>
      </c>
      <c r="E443" t="str">
        <f>TRIM(Tabulka1[[#This Row],[Příjmení]])</f>
        <v>Bulva</v>
      </c>
      <c r="F443" s="2" t="str">
        <f>MID(Tabulka1[[#This Row],[Adresa]],1,SEARCH(",",Tabulka1[[#This Row],[Adresa]])-1)</f>
        <v>Pivovarská 522</v>
      </c>
      <c r="G443" s="2" t="str">
        <f>RIGHT(Tabulka1[[#This Row],[Adresa]],LEN(Tabulka1[[#This Row],[Adresa]])-LEN(Tabulka1[[#This Row],[Ulice]])-1)</f>
        <v>Ceské Budejovice 1</v>
      </c>
      <c r="H443" s="2" t="str">
        <f>_xlfn.CONCAT(LOWER(Tabulka1[[#This Row],[příjmení bez mezer]]),".",LOWER(Tabulka1[[#This Row],[Jmeno bez mezer]]),"@firmaabc.cz")</f>
        <v>bulva.frantisek@firmaabc.cz</v>
      </c>
      <c r="I443" s="2" t="str">
        <f>_xlfn.CONCAT(LOWER(LEFT(Tabulka1[[#This Row],[příjmení bez mezer]],3)),UPPER(RIGHT(Tabulka1[[#This Row],[Jmeno bez mezer]],2)))</f>
        <v>bulEK</v>
      </c>
      <c r="J443" s="2" t="s">
        <v>1562</v>
      </c>
      <c r="K443" s="2" t="s">
        <v>1969</v>
      </c>
      <c r="L443" s="3" t="s">
        <v>2450</v>
      </c>
    </row>
    <row r="444" spans="1:12" ht="45" x14ac:dyDescent="0.25">
      <c r="A444" s="2" t="s">
        <v>1001</v>
      </c>
      <c r="B444" t="s">
        <v>785</v>
      </c>
      <c r="C444" t="s">
        <v>848</v>
      </c>
      <c r="D444" t="str">
        <f>TRIM(Tabulka1[[#This Row],[Jméno]])</f>
        <v>Marketa</v>
      </c>
      <c r="E444" t="str">
        <f>TRIM(Tabulka1[[#This Row],[Příjmení]])</f>
        <v>Svobodova</v>
      </c>
      <c r="F444" s="2" t="str">
        <f>MID(Tabulka1[[#This Row],[Adresa]],1,SEARCH(",",Tabulka1[[#This Row],[Adresa]])-1)</f>
        <v>Příční 1248</v>
      </c>
      <c r="G444" s="2" t="str">
        <f>RIGHT(Tabulka1[[#This Row],[Adresa]],LEN(Tabulka1[[#This Row],[Adresa]])-LEN(Tabulka1[[#This Row],[Ulice]])-1)</f>
        <v>Jablunka nad Becvou</v>
      </c>
      <c r="H444" s="2" t="str">
        <f>_xlfn.CONCAT(LOWER(Tabulka1[[#This Row],[příjmení bez mezer]]),".",LOWER(Tabulka1[[#This Row],[Jmeno bez mezer]]),"@firmaabc.cz")</f>
        <v>svobodova.marketa@firmaabc.cz</v>
      </c>
      <c r="I444" s="2" t="str">
        <f>_xlfn.CONCAT(LOWER(LEFT(Tabulka1[[#This Row],[příjmení bez mezer]],3)),UPPER(RIGHT(Tabulka1[[#This Row],[Jmeno bez mezer]],2)))</f>
        <v>svoTA</v>
      </c>
      <c r="J444" s="2" t="s">
        <v>1563</v>
      </c>
      <c r="K444" s="2" t="s">
        <v>1970</v>
      </c>
      <c r="L444" s="3" t="s">
        <v>2451</v>
      </c>
    </row>
    <row r="445" spans="1:12" ht="30" x14ac:dyDescent="0.25">
      <c r="A445" s="2" t="s">
        <v>1002</v>
      </c>
      <c r="B445" t="s">
        <v>101</v>
      </c>
      <c r="C445" t="s">
        <v>1003</v>
      </c>
      <c r="D445" t="str">
        <f>TRIM(Tabulka1[[#This Row],[Jméno]])</f>
        <v>Frantisek</v>
      </c>
      <c r="E445" t="str">
        <f>TRIM(Tabulka1[[#This Row],[Příjmení]])</f>
        <v>Fusek</v>
      </c>
      <c r="F445" s="2" t="str">
        <f>MID(Tabulka1[[#This Row],[Adresa]],1,SEARCH(",",Tabulka1[[#This Row],[Adresa]])-1)</f>
        <v>Vrchlického 102</v>
      </c>
      <c r="G445" s="2" t="str">
        <f>RIGHT(Tabulka1[[#This Row],[Adresa]],LEN(Tabulka1[[#This Row],[Adresa]])-LEN(Tabulka1[[#This Row],[Ulice]])-1)</f>
        <v>Domažlice 1</v>
      </c>
      <c r="H445" s="2" t="str">
        <f>_xlfn.CONCAT(LOWER(Tabulka1[[#This Row],[příjmení bez mezer]]),".",LOWER(Tabulka1[[#This Row],[Jmeno bez mezer]]),"@firmaabc.cz")</f>
        <v>fusek.frantisek@firmaabc.cz</v>
      </c>
      <c r="I445" s="2" t="str">
        <f>_xlfn.CONCAT(LOWER(LEFT(Tabulka1[[#This Row],[příjmení bez mezer]],3)),UPPER(RIGHT(Tabulka1[[#This Row],[Jmeno bez mezer]],2)))</f>
        <v>fusEK</v>
      </c>
      <c r="J445" s="2" t="s">
        <v>1564</v>
      </c>
      <c r="K445" s="2" t="s">
        <v>1971</v>
      </c>
      <c r="L445" s="3" t="s">
        <v>2452</v>
      </c>
    </row>
    <row r="446" spans="1:12" ht="45" x14ac:dyDescent="0.25">
      <c r="A446" s="2" t="s">
        <v>1004</v>
      </c>
      <c r="B446" t="s">
        <v>189</v>
      </c>
      <c r="C446" t="s">
        <v>1005</v>
      </c>
      <c r="D446" t="str">
        <f>TRIM(Tabulka1[[#This Row],[Jméno]])</f>
        <v>Jana</v>
      </c>
      <c r="E446" t="str">
        <f>TRIM(Tabulka1[[#This Row],[Příjmení]])</f>
        <v>Hermanova</v>
      </c>
      <c r="F446" s="2" t="str">
        <f>MID(Tabulka1[[#This Row],[Adresa]],1,SEARCH(",",Tabulka1[[#This Row],[Adresa]])-1)</f>
        <v>Klimenta Čermáka 1424</v>
      </c>
      <c r="G446" s="2" t="str">
        <f>RIGHT(Tabulka1[[#This Row],[Adresa]],LEN(Tabulka1[[#This Row],[Adresa]])-LEN(Tabulka1[[#This Row],[Ulice]])-1)</f>
        <v>Cáslav</v>
      </c>
      <c r="H446" s="2" t="str">
        <f>_xlfn.CONCAT(LOWER(Tabulka1[[#This Row],[příjmení bez mezer]]),".",LOWER(Tabulka1[[#This Row],[Jmeno bez mezer]]),"@firmaabc.cz")</f>
        <v>hermanova.jana@firmaabc.cz</v>
      </c>
      <c r="I446" s="2" t="str">
        <f>_xlfn.CONCAT(LOWER(LEFT(Tabulka1[[#This Row],[příjmení bez mezer]],3)),UPPER(RIGHT(Tabulka1[[#This Row],[Jmeno bez mezer]],2)))</f>
        <v>herNA</v>
      </c>
      <c r="J446" s="2" t="s">
        <v>1565</v>
      </c>
      <c r="K446" s="2" t="s">
        <v>1727</v>
      </c>
      <c r="L446" s="3" t="s">
        <v>2453</v>
      </c>
    </row>
    <row r="447" spans="1:12" ht="45" x14ac:dyDescent="0.25">
      <c r="A447" s="2" t="s">
        <v>1006</v>
      </c>
      <c r="B447" t="s">
        <v>263</v>
      </c>
      <c r="C447" t="s">
        <v>1007</v>
      </c>
      <c r="D447" t="str">
        <f>TRIM(Tabulka1[[#This Row],[Jméno]])</f>
        <v>Robert</v>
      </c>
      <c r="E447" t="str">
        <f>TRIM(Tabulka1[[#This Row],[Příjmení]])</f>
        <v>Svrcina</v>
      </c>
      <c r="F447" s="2" t="str">
        <f>MID(Tabulka1[[#This Row],[Adresa]],1,SEARCH(",",Tabulka1[[#This Row],[Adresa]])-1)</f>
        <v>Na Kopečku 1141</v>
      </c>
      <c r="G447" s="2" t="str">
        <f>RIGHT(Tabulka1[[#This Row],[Adresa]],LEN(Tabulka1[[#This Row],[Adresa]])-LEN(Tabulka1[[#This Row],[Ulice]])-1)</f>
        <v>Lužany</v>
      </c>
      <c r="H447" s="2" t="str">
        <f>_xlfn.CONCAT(LOWER(Tabulka1[[#This Row],[příjmení bez mezer]]),".",LOWER(Tabulka1[[#This Row],[Jmeno bez mezer]]),"@firmaabc.cz")</f>
        <v>svrcina.robert@firmaabc.cz</v>
      </c>
      <c r="I447" s="2" t="str">
        <f>_xlfn.CONCAT(LOWER(LEFT(Tabulka1[[#This Row],[příjmení bez mezer]],3)),UPPER(RIGHT(Tabulka1[[#This Row],[Jmeno bez mezer]],2)))</f>
        <v>svrRT</v>
      </c>
      <c r="J447" s="2" t="s">
        <v>1566</v>
      </c>
      <c r="K447" s="2" t="s">
        <v>1972</v>
      </c>
      <c r="L447" s="3" t="s">
        <v>2454</v>
      </c>
    </row>
    <row r="448" spans="1:12" ht="30" x14ac:dyDescent="0.25">
      <c r="A448" s="2" t="s">
        <v>1008</v>
      </c>
      <c r="B448" t="s">
        <v>123</v>
      </c>
      <c r="C448" t="s">
        <v>1009</v>
      </c>
      <c r="D448" t="str">
        <f>TRIM(Tabulka1[[#This Row],[Jméno]])</f>
        <v>Veronika</v>
      </c>
      <c r="E448" t="str">
        <f>TRIM(Tabulka1[[#This Row],[Příjmení]])</f>
        <v>Cigankova</v>
      </c>
      <c r="F448" s="2" t="str">
        <f>MID(Tabulka1[[#This Row],[Adresa]],1,SEARCH(",",Tabulka1[[#This Row],[Adresa]])-1)</f>
        <v>Vrchlického 766</v>
      </c>
      <c r="G448" s="2" t="str">
        <f>RIGHT(Tabulka1[[#This Row],[Adresa]],LEN(Tabulka1[[#This Row],[Adresa]])-LEN(Tabulka1[[#This Row],[Ulice]])-1)</f>
        <v>Citonice</v>
      </c>
      <c r="H448" s="2" t="str">
        <f>_xlfn.CONCAT(LOWER(Tabulka1[[#This Row],[příjmení bez mezer]]),".",LOWER(Tabulka1[[#This Row],[Jmeno bez mezer]]),"@firmaabc.cz")</f>
        <v>cigankova.veronika@firmaabc.cz</v>
      </c>
      <c r="I448" s="2" t="str">
        <f>_xlfn.CONCAT(LOWER(LEFT(Tabulka1[[#This Row],[příjmení bez mezer]],3)),UPPER(RIGHT(Tabulka1[[#This Row],[Jmeno bez mezer]],2)))</f>
        <v>cigKA</v>
      </c>
      <c r="J448" s="2" t="s">
        <v>1567</v>
      </c>
      <c r="K448" s="2" t="s">
        <v>1973</v>
      </c>
      <c r="L448" s="3" t="s">
        <v>2455</v>
      </c>
    </row>
    <row r="449" spans="1:12" ht="30" x14ac:dyDescent="0.25">
      <c r="A449" s="2" t="s">
        <v>1010</v>
      </c>
      <c r="B449" t="s">
        <v>138</v>
      </c>
      <c r="C449" t="s">
        <v>1011</v>
      </c>
      <c r="D449" t="str">
        <f>TRIM(Tabulka1[[#This Row],[Jméno]])</f>
        <v>Iveta</v>
      </c>
      <c r="E449" t="str">
        <f>TRIM(Tabulka1[[#This Row],[Příjmení]])</f>
        <v>Fojtikova</v>
      </c>
      <c r="F449" s="2" t="str">
        <f>MID(Tabulka1[[#This Row],[Adresa]],1,SEARCH(",",Tabulka1[[#This Row],[Adresa]])-1)</f>
        <v>Sokolská 1943</v>
      </c>
      <c r="G449" s="2" t="str">
        <f>RIGHT(Tabulka1[[#This Row],[Adresa]],LEN(Tabulka1[[#This Row],[Adresa]])-LEN(Tabulka1[[#This Row],[Ulice]])-1)</f>
        <v>Hlubocky 3</v>
      </c>
      <c r="H449" s="2" t="str">
        <f>_xlfn.CONCAT(LOWER(Tabulka1[[#This Row],[příjmení bez mezer]]),".",LOWER(Tabulka1[[#This Row],[Jmeno bez mezer]]),"@firmaabc.cz")</f>
        <v>fojtikova.iveta@firmaabc.cz</v>
      </c>
      <c r="I449" s="2" t="str">
        <f>_xlfn.CONCAT(LOWER(LEFT(Tabulka1[[#This Row],[příjmení bez mezer]],3)),UPPER(RIGHT(Tabulka1[[#This Row],[Jmeno bez mezer]],2)))</f>
        <v>fojTA</v>
      </c>
      <c r="J449" s="2" t="s">
        <v>1568</v>
      </c>
      <c r="K449" s="2" t="s">
        <v>1974</v>
      </c>
      <c r="L449" s="3" t="s">
        <v>2456</v>
      </c>
    </row>
    <row r="450" spans="1:12" ht="45" x14ac:dyDescent="0.25">
      <c r="A450" s="2" t="s">
        <v>1012</v>
      </c>
      <c r="B450" t="s">
        <v>1013</v>
      </c>
      <c r="C450" t="s">
        <v>1014</v>
      </c>
      <c r="D450" t="str">
        <f>TRIM(Tabulka1[[#This Row],[Jméno]])</f>
        <v>Lubomira</v>
      </c>
      <c r="E450" t="str">
        <f>TRIM(Tabulka1[[#This Row],[Příjmení]])</f>
        <v>Cihlarova</v>
      </c>
      <c r="F450" s="2" t="str">
        <f>MID(Tabulka1[[#This Row],[Adresa]],1,SEARCH(",",Tabulka1[[#This Row],[Adresa]])-1)</f>
        <v>Bedřicha Smetany 1354</v>
      </c>
      <c r="G450" s="2" t="str">
        <f>RIGHT(Tabulka1[[#This Row],[Adresa]],LEN(Tabulka1[[#This Row],[Adresa]])-LEN(Tabulka1[[#This Row],[Ulice]])-1)</f>
        <v>Kutná Hora 1</v>
      </c>
      <c r="H450" s="2" t="str">
        <f>_xlfn.CONCAT(LOWER(Tabulka1[[#This Row],[příjmení bez mezer]]),".",LOWER(Tabulka1[[#This Row],[Jmeno bez mezer]]),"@firmaabc.cz")</f>
        <v>cihlarova.lubomira@firmaabc.cz</v>
      </c>
      <c r="I450" s="2" t="str">
        <f>_xlfn.CONCAT(LOWER(LEFT(Tabulka1[[#This Row],[příjmení bez mezer]],3)),UPPER(RIGHT(Tabulka1[[#This Row],[Jmeno bez mezer]],2)))</f>
        <v>cihRA</v>
      </c>
      <c r="J450" s="2" t="s">
        <v>1569</v>
      </c>
      <c r="K450" s="2" t="s">
        <v>1918</v>
      </c>
      <c r="L450" s="3" t="s">
        <v>2457</v>
      </c>
    </row>
    <row r="451" spans="1:12" x14ac:dyDescent="0.25">
      <c r="A451" s="2" t="s">
        <v>1015</v>
      </c>
      <c r="B451" t="s">
        <v>1016</v>
      </c>
      <c r="C451" t="s">
        <v>1017</v>
      </c>
      <c r="D451" t="str">
        <f>TRIM(Tabulka1[[#This Row],[Jméno]])</f>
        <v>Jarmila</v>
      </c>
      <c r="E451" t="str">
        <f>TRIM(Tabulka1[[#This Row],[Příjmení]])</f>
        <v>Zizkova</v>
      </c>
      <c r="F451" s="2" t="str">
        <f>MID(Tabulka1[[#This Row],[Adresa]],1,SEARCH(",",Tabulka1[[#This Row],[Adresa]])-1)</f>
        <v>Školní 1407</v>
      </c>
      <c r="G451" s="2" t="str">
        <f>RIGHT(Tabulka1[[#This Row],[Adresa]],LEN(Tabulka1[[#This Row],[Adresa]])-LEN(Tabulka1[[#This Row],[Ulice]])-1)</f>
        <v>Malonty</v>
      </c>
      <c r="H451" s="2" t="str">
        <f>_xlfn.CONCAT(LOWER(Tabulka1[[#This Row],[příjmení bez mezer]]),".",LOWER(Tabulka1[[#This Row],[Jmeno bez mezer]]),"@firmaabc.cz")</f>
        <v>zizkova.jarmila@firmaabc.cz</v>
      </c>
      <c r="I451" s="2" t="str">
        <f>_xlfn.CONCAT(LOWER(LEFT(Tabulka1[[#This Row],[příjmení bez mezer]],3)),UPPER(RIGHT(Tabulka1[[#This Row],[Jmeno bez mezer]],2)))</f>
        <v>zizLA</v>
      </c>
      <c r="J451" s="2" t="s">
        <v>1570</v>
      </c>
      <c r="K451" s="2" t="s">
        <v>1975</v>
      </c>
      <c r="L451" s="3" t="s">
        <v>2458</v>
      </c>
    </row>
    <row r="452" spans="1:12" ht="30" x14ac:dyDescent="0.25">
      <c r="A452" s="2" t="s">
        <v>1018</v>
      </c>
      <c r="B452" t="s">
        <v>542</v>
      </c>
      <c r="C452" t="s">
        <v>1019</v>
      </c>
      <c r="D452" t="str">
        <f>TRIM(Tabulka1[[#This Row],[Jméno]])</f>
        <v>Vlasta</v>
      </c>
      <c r="E452" t="str">
        <f>TRIM(Tabulka1[[#This Row],[Příjmení]])</f>
        <v>Bukackova</v>
      </c>
      <c r="F452" s="2" t="str">
        <f>MID(Tabulka1[[#This Row],[Adresa]],1,SEARCH(",",Tabulka1[[#This Row],[Adresa]])-1)</f>
        <v>Čechova 606</v>
      </c>
      <c r="G452" s="2" t="str">
        <f>RIGHT(Tabulka1[[#This Row],[Adresa]],LEN(Tabulka1[[#This Row],[Adresa]])-LEN(Tabulka1[[#This Row],[Ulice]])-1)</f>
        <v>Trutnov 1</v>
      </c>
      <c r="H452" s="2" t="str">
        <f>_xlfn.CONCAT(LOWER(Tabulka1[[#This Row],[příjmení bez mezer]]),".",LOWER(Tabulka1[[#This Row],[Jmeno bez mezer]]),"@firmaabc.cz")</f>
        <v>bukackova.vlasta@firmaabc.cz</v>
      </c>
      <c r="I452" s="2" t="str">
        <f>_xlfn.CONCAT(LOWER(LEFT(Tabulka1[[#This Row],[příjmení bez mezer]],3)),UPPER(RIGHT(Tabulka1[[#This Row],[Jmeno bez mezer]],2)))</f>
        <v>bukTA</v>
      </c>
      <c r="J452" s="2" t="s">
        <v>1571</v>
      </c>
      <c r="K452" s="2" t="s">
        <v>1976</v>
      </c>
      <c r="L452" s="3" t="s">
        <v>2459</v>
      </c>
    </row>
    <row r="453" spans="1:12" ht="30" x14ac:dyDescent="0.25">
      <c r="A453" s="2" t="s">
        <v>1020</v>
      </c>
      <c r="B453" t="s">
        <v>994</v>
      </c>
      <c r="C453" t="s">
        <v>16</v>
      </c>
      <c r="D453" t="str">
        <f>TRIM(Tabulka1[[#This Row],[Jméno]])</f>
        <v>Vaclav</v>
      </c>
      <c r="E453" t="str">
        <f>TRIM(Tabulka1[[#This Row],[Příjmení]])</f>
        <v>Svoboda</v>
      </c>
      <c r="F453" s="2" t="str">
        <f>MID(Tabulka1[[#This Row],[Adresa]],1,SEARCH(",",Tabulka1[[#This Row],[Adresa]])-1)</f>
        <v>Na Výsluní 736</v>
      </c>
      <c r="G453" s="2" t="str">
        <f>RIGHT(Tabulka1[[#This Row],[Adresa]],LEN(Tabulka1[[#This Row],[Adresa]])-LEN(Tabulka1[[#This Row],[Ulice]])-1)</f>
        <v>Zvole u Prahy</v>
      </c>
      <c r="H453" s="2" t="str">
        <f>_xlfn.CONCAT(LOWER(Tabulka1[[#This Row],[příjmení bez mezer]]),".",LOWER(Tabulka1[[#This Row],[Jmeno bez mezer]]),"@firmaabc.cz")</f>
        <v>svoboda.vaclav@firmaabc.cz</v>
      </c>
      <c r="I453" s="2" t="str">
        <f>_xlfn.CONCAT(LOWER(LEFT(Tabulka1[[#This Row],[příjmení bez mezer]],3)),UPPER(RIGHT(Tabulka1[[#This Row],[Jmeno bez mezer]],2)))</f>
        <v>svoAV</v>
      </c>
      <c r="J453" s="2" t="s">
        <v>1572</v>
      </c>
      <c r="K453" s="2" t="s">
        <v>1977</v>
      </c>
      <c r="L453" s="3" t="s">
        <v>2460</v>
      </c>
    </row>
    <row r="454" spans="1:12" ht="30" x14ac:dyDescent="0.25">
      <c r="A454" s="2" t="s">
        <v>1021</v>
      </c>
      <c r="B454" t="s">
        <v>1022</v>
      </c>
      <c r="C454" t="s">
        <v>1023</v>
      </c>
      <c r="D454" t="str">
        <f>TRIM(Tabulka1[[#This Row],[Jméno]])</f>
        <v>Denisa</v>
      </c>
      <c r="E454" t="str">
        <f>TRIM(Tabulka1[[#This Row],[Příjmení]])</f>
        <v>Vasikova</v>
      </c>
      <c r="F454" s="2" t="str">
        <f>MID(Tabulka1[[#This Row],[Adresa]],1,SEARCH(",",Tabulka1[[#This Row],[Adresa]])-1)</f>
        <v>Příkopy 1062</v>
      </c>
      <c r="G454" s="2" t="str">
        <f>RIGHT(Tabulka1[[#This Row],[Adresa]],LEN(Tabulka1[[#This Row],[Adresa]])-LEN(Tabulka1[[#This Row],[Ulice]])-1)</f>
        <v>Lanškroun</v>
      </c>
      <c r="H454" s="2" t="str">
        <f>_xlfn.CONCAT(LOWER(Tabulka1[[#This Row],[příjmení bez mezer]]),".",LOWER(Tabulka1[[#This Row],[Jmeno bez mezer]]),"@firmaabc.cz")</f>
        <v>vasikova.denisa@firmaabc.cz</v>
      </c>
      <c r="I454" s="2" t="str">
        <f>_xlfn.CONCAT(LOWER(LEFT(Tabulka1[[#This Row],[příjmení bez mezer]],3)),UPPER(RIGHT(Tabulka1[[#This Row],[Jmeno bez mezer]],2)))</f>
        <v>vasSA</v>
      </c>
      <c r="J454" s="2" t="s">
        <v>1573</v>
      </c>
      <c r="K454" s="2" t="s">
        <v>1848</v>
      </c>
      <c r="L454" s="3" t="s">
        <v>2461</v>
      </c>
    </row>
    <row r="455" spans="1:12" x14ac:dyDescent="0.25">
      <c r="A455" s="2" t="s">
        <v>1024</v>
      </c>
      <c r="B455" t="s">
        <v>1025</v>
      </c>
      <c r="C455" t="s">
        <v>1026</v>
      </c>
      <c r="D455" t="str">
        <f>TRIM(Tabulka1[[#This Row],[Jméno]])</f>
        <v>Stepanka</v>
      </c>
      <c r="E455" t="str">
        <f>TRIM(Tabulka1[[#This Row],[Příjmení]])</f>
        <v>Lavickova</v>
      </c>
      <c r="F455" s="2" t="str">
        <f>MID(Tabulka1[[#This Row],[Adresa]],1,SEARCH(",",Tabulka1[[#This Row],[Adresa]])-1)</f>
        <v>Školní 97</v>
      </c>
      <c r="G455" s="2" t="str">
        <f>RIGHT(Tabulka1[[#This Row],[Adresa]],LEN(Tabulka1[[#This Row],[Adresa]])-LEN(Tabulka1[[#This Row],[Ulice]])-1)</f>
        <v>Brasy 1</v>
      </c>
      <c r="H455" s="2" t="str">
        <f>_xlfn.CONCAT(LOWER(Tabulka1[[#This Row],[příjmení bez mezer]]),".",LOWER(Tabulka1[[#This Row],[Jmeno bez mezer]]),"@firmaabc.cz")</f>
        <v>lavickova.stepanka@firmaabc.cz</v>
      </c>
      <c r="I455" s="2" t="str">
        <f>_xlfn.CONCAT(LOWER(LEFT(Tabulka1[[#This Row],[příjmení bez mezer]],3)),UPPER(RIGHT(Tabulka1[[#This Row],[Jmeno bez mezer]],2)))</f>
        <v>lavKA</v>
      </c>
      <c r="J455" s="2" t="s">
        <v>1574</v>
      </c>
      <c r="K455" s="2" t="s">
        <v>1812</v>
      </c>
      <c r="L455" s="3" t="s">
        <v>2462</v>
      </c>
    </row>
    <row r="456" spans="1:12" ht="30" x14ac:dyDescent="0.25">
      <c r="A456" s="2" t="s">
        <v>1027</v>
      </c>
      <c r="B456" t="s">
        <v>1028</v>
      </c>
      <c r="C456" t="s">
        <v>1029</v>
      </c>
      <c r="D456" t="str">
        <f>TRIM(Tabulka1[[#This Row],[Jméno]])</f>
        <v>Dana</v>
      </c>
      <c r="E456" t="str">
        <f>TRIM(Tabulka1[[#This Row],[Příjmení]])</f>
        <v>Dudova</v>
      </c>
      <c r="F456" s="2" t="str">
        <f>MID(Tabulka1[[#This Row],[Adresa]],1,SEARCH(",",Tabulka1[[#This Row],[Adresa]])-1)</f>
        <v>Generála Jaroše 620</v>
      </c>
      <c r="G456" s="2" t="str">
        <f>RIGHT(Tabulka1[[#This Row],[Adresa]],LEN(Tabulka1[[#This Row],[Adresa]])-LEN(Tabulka1[[#This Row],[Ulice]])-1)</f>
        <v>Velké Mezirící</v>
      </c>
      <c r="H456" s="2" t="str">
        <f>_xlfn.CONCAT(LOWER(Tabulka1[[#This Row],[příjmení bez mezer]]),".",LOWER(Tabulka1[[#This Row],[Jmeno bez mezer]]),"@firmaabc.cz")</f>
        <v>dudova.dana@firmaabc.cz</v>
      </c>
      <c r="I456" s="2" t="str">
        <f>_xlfn.CONCAT(LOWER(LEFT(Tabulka1[[#This Row],[příjmení bez mezer]],3)),UPPER(RIGHT(Tabulka1[[#This Row],[Jmeno bez mezer]],2)))</f>
        <v>dudNA</v>
      </c>
      <c r="J456" s="2" t="s">
        <v>1575</v>
      </c>
      <c r="K456" s="2" t="s">
        <v>1719</v>
      </c>
      <c r="L456" s="3" t="s">
        <v>2463</v>
      </c>
    </row>
    <row r="457" spans="1:12" ht="30" x14ac:dyDescent="0.25">
      <c r="A457" s="2" t="s">
        <v>1030</v>
      </c>
      <c r="B457" t="s">
        <v>42</v>
      </c>
      <c r="C457" t="s">
        <v>1031</v>
      </c>
      <c r="D457" t="str">
        <f>TRIM(Tabulka1[[#This Row],[Jméno]])</f>
        <v>Marie</v>
      </c>
      <c r="E457" t="str">
        <f>TRIM(Tabulka1[[#This Row],[Příjmení]])</f>
        <v>Prchalova</v>
      </c>
      <c r="F457" s="2" t="str">
        <f>MID(Tabulka1[[#This Row],[Adresa]],1,SEARCH(",",Tabulka1[[#This Row],[Adresa]])-1)</f>
        <v>Palackého 919</v>
      </c>
      <c r="G457" s="2" t="str">
        <f>RIGHT(Tabulka1[[#This Row],[Adresa]],LEN(Tabulka1[[#This Row],[Adresa]])-LEN(Tabulka1[[#This Row],[Ulice]])-1)</f>
        <v>Cervená Recice</v>
      </c>
      <c r="H457" s="2" t="str">
        <f>_xlfn.CONCAT(LOWER(Tabulka1[[#This Row],[příjmení bez mezer]]),".",LOWER(Tabulka1[[#This Row],[Jmeno bez mezer]]),"@firmaabc.cz")</f>
        <v>prchalova.marie@firmaabc.cz</v>
      </c>
      <c r="I457" s="2" t="str">
        <f>_xlfn.CONCAT(LOWER(LEFT(Tabulka1[[#This Row],[příjmení bez mezer]],3)),UPPER(RIGHT(Tabulka1[[#This Row],[Jmeno bez mezer]],2)))</f>
        <v>prcIE</v>
      </c>
      <c r="J457" s="2" t="s">
        <v>1576</v>
      </c>
      <c r="K457" s="2" t="s">
        <v>1978</v>
      </c>
      <c r="L457" s="3" t="s">
        <v>2464</v>
      </c>
    </row>
    <row r="458" spans="1:12" ht="45" x14ac:dyDescent="0.25">
      <c r="A458" s="2" t="s">
        <v>1032</v>
      </c>
      <c r="B458" t="s">
        <v>42</v>
      </c>
      <c r="C458" t="s">
        <v>1033</v>
      </c>
      <c r="D458" t="str">
        <f>TRIM(Tabulka1[[#This Row],[Jméno]])</f>
        <v>Marie</v>
      </c>
      <c r="E458" t="str">
        <f>TRIM(Tabulka1[[#This Row],[Příjmení]])</f>
        <v>Bublova</v>
      </c>
      <c r="F458" s="2" t="str">
        <f>MID(Tabulka1[[#This Row],[Adresa]],1,SEARCH(",",Tabulka1[[#This Row],[Adresa]])-1)</f>
        <v>Velký průhon 1756</v>
      </c>
      <c r="G458" s="2" t="str">
        <f>RIGHT(Tabulka1[[#This Row],[Adresa]],LEN(Tabulka1[[#This Row],[Adresa]])-LEN(Tabulka1[[#This Row],[Ulice]])-1)</f>
        <v>Dymokury</v>
      </c>
      <c r="H458" s="2" t="str">
        <f>_xlfn.CONCAT(LOWER(Tabulka1[[#This Row],[příjmení bez mezer]]),".",LOWER(Tabulka1[[#This Row],[Jmeno bez mezer]]),"@firmaabc.cz")</f>
        <v>bublova.marie@firmaabc.cz</v>
      </c>
      <c r="I458" s="2" t="str">
        <f>_xlfn.CONCAT(LOWER(LEFT(Tabulka1[[#This Row],[příjmení bez mezer]],3)),UPPER(RIGHT(Tabulka1[[#This Row],[Jmeno bez mezer]],2)))</f>
        <v>bubIE</v>
      </c>
      <c r="J458" s="2" t="s">
        <v>1577</v>
      </c>
      <c r="K458" s="2" t="s">
        <v>1979</v>
      </c>
      <c r="L458" s="3" t="s">
        <v>2465</v>
      </c>
    </row>
    <row r="459" spans="1:12" ht="30" x14ac:dyDescent="0.25">
      <c r="A459" s="2" t="s">
        <v>1034</v>
      </c>
      <c r="B459" t="s">
        <v>42</v>
      </c>
      <c r="C459" t="s">
        <v>1035</v>
      </c>
      <c r="D459" t="str">
        <f>TRIM(Tabulka1[[#This Row],[Jméno]])</f>
        <v>Marie</v>
      </c>
      <c r="E459" t="str">
        <f>TRIM(Tabulka1[[#This Row],[Příjmení]])</f>
        <v>Zichova</v>
      </c>
      <c r="F459" s="2" t="str">
        <f>MID(Tabulka1[[#This Row],[Adresa]],1,SEARCH(",",Tabulka1[[#This Row],[Adresa]])-1)</f>
        <v>Václava Haňky 779</v>
      </c>
      <c r="G459" s="2" t="str">
        <f>RIGHT(Tabulka1[[#This Row],[Adresa]],LEN(Tabulka1[[#This Row],[Adresa]])-LEN(Tabulka1[[#This Row],[Ulice]])-1)</f>
        <v>Moravany u Brna</v>
      </c>
      <c r="H459" s="2" t="str">
        <f>_xlfn.CONCAT(LOWER(Tabulka1[[#This Row],[příjmení bez mezer]]),".",LOWER(Tabulka1[[#This Row],[Jmeno bez mezer]]),"@firmaabc.cz")</f>
        <v>zichova.marie@firmaabc.cz</v>
      </c>
      <c r="I459" s="2" t="str">
        <f>_xlfn.CONCAT(LOWER(LEFT(Tabulka1[[#This Row],[příjmení bez mezer]],3)),UPPER(RIGHT(Tabulka1[[#This Row],[Jmeno bez mezer]],2)))</f>
        <v>zicIE</v>
      </c>
      <c r="J459" s="2" t="s">
        <v>1578</v>
      </c>
      <c r="K459" s="2" t="s">
        <v>1980</v>
      </c>
      <c r="L459" s="3" t="s">
        <v>2466</v>
      </c>
    </row>
    <row r="460" spans="1:12" ht="45" x14ac:dyDescent="0.25">
      <c r="A460" s="2" t="s">
        <v>1036</v>
      </c>
      <c r="B460" t="s">
        <v>96</v>
      </c>
      <c r="C460" t="s">
        <v>1037</v>
      </c>
      <c r="D460" t="str">
        <f>TRIM(Tabulka1[[#This Row],[Jméno]])</f>
        <v>Lukas</v>
      </c>
      <c r="E460" t="str">
        <f>TRIM(Tabulka1[[#This Row],[Příjmení]])</f>
        <v>Blaha</v>
      </c>
      <c r="F460" s="2" t="str">
        <f>MID(Tabulka1[[#This Row],[Adresa]],1,SEARCH(",",Tabulka1[[#This Row],[Adresa]])-1)</f>
        <v>Jana Nerudy 1836</v>
      </c>
      <c r="G460" s="2" t="str">
        <f>RIGHT(Tabulka1[[#This Row],[Adresa]],LEN(Tabulka1[[#This Row],[Adresa]])-LEN(Tabulka1[[#This Row],[Ulice]])-1)</f>
        <v>Bozkov</v>
      </c>
      <c r="H460" s="2" t="str">
        <f>_xlfn.CONCAT(LOWER(Tabulka1[[#This Row],[příjmení bez mezer]]),".",LOWER(Tabulka1[[#This Row],[Jmeno bez mezer]]),"@firmaabc.cz")</f>
        <v>blaha.lukas@firmaabc.cz</v>
      </c>
      <c r="I460" s="2" t="str">
        <f>_xlfn.CONCAT(LOWER(LEFT(Tabulka1[[#This Row],[příjmení bez mezer]],3)),UPPER(RIGHT(Tabulka1[[#This Row],[Jmeno bez mezer]],2)))</f>
        <v>blaAS</v>
      </c>
      <c r="J460" s="2" t="s">
        <v>1579</v>
      </c>
      <c r="K460" s="2" t="s">
        <v>1981</v>
      </c>
      <c r="L460" s="3" t="s">
        <v>2467</v>
      </c>
    </row>
    <row r="461" spans="1:12" ht="30" x14ac:dyDescent="0.25">
      <c r="A461" s="2" t="s">
        <v>1038</v>
      </c>
      <c r="B461" t="s">
        <v>42</v>
      </c>
      <c r="C461" t="s">
        <v>727</v>
      </c>
      <c r="D461" t="str">
        <f>TRIM(Tabulka1[[#This Row],[Jméno]])</f>
        <v>Marie</v>
      </c>
      <c r="E461" t="str">
        <f>TRIM(Tabulka1[[#This Row],[Příjmení]])</f>
        <v>Navratilova</v>
      </c>
      <c r="F461" s="2" t="str">
        <f>MID(Tabulka1[[#This Row],[Adresa]],1,SEARCH(",",Tabulka1[[#This Row],[Adresa]])-1)</f>
        <v>Palackého 533</v>
      </c>
      <c r="G461" s="2" t="str">
        <f>RIGHT(Tabulka1[[#This Row],[Adresa]],LEN(Tabulka1[[#This Row],[Adresa]])-LEN(Tabulka1[[#This Row],[Ulice]])-1)</f>
        <v>Zlobice</v>
      </c>
      <c r="H461" s="2" t="str">
        <f>_xlfn.CONCAT(LOWER(Tabulka1[[#This Row],[příjmení bez mezer]]),".",LOWER(Tabulka1[[#This Row],[Jmeno bez mezer]]),"@firmaabc.cz")</f>
        <v>navratilova.marie@firmaabc.cz</v>
      </c>
      <c r="I461" s="2" t="str">
        <f>_xlfn.CONCAT(LOWER(LEFT(Tabulka1[[#This Row],[příjmení bez mezer]],3)),UPPER(RIGHT(Tabulka1[[#This Row],[Jmeno bez mezer]],2)))</f>
        <v>navIE</v>
      </c>
      <c r="J461" s="2" t="s">
        <v>1580</v>
      </c>
      <c r="K461" s="2" t="s">
        <v>1982</v>
      </c>
      <c r="L461" s="3" t="s">
        <v>2468</v>
      </c>
    </row>
    <row r="462" spans="1:12" ht="30" x14ac:dyDescent="0.25">
      <c r="A462" s="2" t="s">
        <v>1039</v>
      </c>
      <c r="B462" t="s">
        <v>39</v>
      </c>
      <c r="C462" t="s">
        <v>1040</v>
      </c>
      <c r="D462" t="str">
        <f>TRIM(Tabulka1[[#This Row],[Jméno]])</f>
        <v>Ivana</v>
      </c>
      <c r="E462" t="str">
        <f>TRIM(Tabulka1[[#This Row],[Příjmení]])</f>
        <v>Vyskocilova</v>
      </c>
      <c r="F462" s="2" t="str">
        <f>MID(Tabulka1[[#This Row],[Adresa]],1,SEARCH(",",Tabulka1[[#This Row],[Adresa]])-1)</f>
        <v>Hamerská 714</v>
      </c>
      <c r="G462" s="2" t="str">
        <f>RIGHT(Tabulka1[[#This Row],[Adresa]],LEN(Tabulka1[[#This Row],[Adresa]])-LEN(Tabulka1[[#This Row],[Ulice]])-1)</f>
        <v>Malec</v>
      </c>
      <c r="H462" s="2" t="str">
        <f>_xlfn.CONCAT(LOWER(Tabulka1[[#This Row],[příjmení bez mezer]]),".",LOWER(Tabulka1[[#This Row],[Jmeno bez mezer]]),"@firmaabc.cz")</f>
        <v>vyskocilova.ivana@firmaabc.cz</v>
      </c>
      <c r="I462" s="2" t="str">
        <f>_xlfn.CONCAT(LOWER(LEFT(Tabulka1[[#This Row],[příjmení bez mezer]],3)),UPPER(RIGHT(Tabulka1[[#This Row],[Jmeno bez mezer]],2)))</f>
        <v>vysNA</v>
      </c>
      <c r="J462" s="2" t="s">
        <v>1581</v>
      </c>
      <c r="K462" s="2" t="s">
        <v>1983</v>
      </c>
      <c r="L462" s="3" t="s">
        <v>2469</v>
      </c>
    </row>
    <row r="463" spans="1:12" ht="30" x14ac:dyDescent="0.25">
      <c r="A463" s="2" t="s">
        <v>1041</v>
      </c>
      <c r="B463" t="s">
        <v>320</v>
      </c>
      <c r="C463" t="s">
        <v>1042</v>
      </c>
      <c r="D463" t="str">
        <f>TRIM(Tabulka1[[#This Row],[Jméno]])</f>
        <v>Helena</v>
      </c>
      <c r="E463" t="str">
        <f>TRIM(Tabulka1[[#This Row],[Příjmení]])</f>
        <v>Sulova</v>
      </c>
      <c r="F463" s="2" t="str">
        <f>MID(Tabulka1[[#This Row],[Adresa]],1,SEARCH(",",Tabulka1[[#This Row],[Adresa]])-1)</f>
        <v>Havlíčkova 400</v>
      </c>
      <c r="G463" s="2" t="str">
        <f>RIGHT(Tabulka1[[#This Row],[Adresa]],LEN(Tabulka1[[#This Row],[Adresa]])-LEN(Tabulka1[[#This Row],[Ulice]])-1)</f>
        <v>Vejprty</v>
      </c>
      <c r="H463" s="2" t="str">
        <f>_xlfn.CONCAT(LOWER(Tabulka1[[#This Row],[příjmení bez mezer]]),".",LOWER(Tabulka1[[#This Row],[Jmeno bez mezer]]),"@firmaabc.cz")</f>
        <v>sulova.helena@firmaabc.cz</v>
      </c>
      <c r="I463" s="2" t="str">
        <f>_xlfn.CONCAT(LOWER(LEFT(Tabulka1[[#This Row],[příjmení bez mezer]],3)),UPPER(RIGHT(Tabulka1[[#This Row],[Jmeno bez mezer]],2)))</f>
        <v>sulNA</v>
      </c>
      <c r="J463" s="2" t="s">
        <v>1582</v>
      </c>
      <c r="K463" s="2" t="s">
        <v>1901</v>
      </c>
      <c r="L463" s="3" t="s">
        <v>2470</v>
      </c>
    </row>
    <row r="464" spans="1:12" ht="30" x14ac:dyDescent="0.25">
      <c r="A464" s="2" t="s">
        <v>1043</v>
      </c>
      <c r="B464" t="s">
        <v>1028</v>
      </c>
      <c r="C464" t="s">
        <v>1044</v>
      </c>
      <c r="D464" t="str">
        <f>TRIM(Tabulka1[[#This Row],[Jméno]])</f>
        <v>Dana</v>
      </c>
      <c r="E464" t="str">
        <f>TRIM(Tabulka1[[#This Row],[Příjmení]])</f>
        <v>Malinska</v>
      </c>
      <c r="F464" s="2" t="str">
        <f>MID(Tabulka1[[#This Row],[Adresa]],1,SEARCH(",",Tabulka1[[#This Row],[Adresa]])-1)</f>
        <v>Na Kopci 1728</v>
      </c>
      <c r="G464" s="2" t="str">
        <f>RIGHT(Tabulka1[[#This Row],[Adresa]],LEN(Tabulka1[[#This Row],[Adresa]])-LEN(Tabulka1[[#This Row],[Ulice]])-1)</f>
        <v>Drítec</v>
      </c>
      <c r="H464" s="2" t="str">
        <f>_xlfn.CONCAT(LOWER(Tabulka1[[#This Row],[příjmení bez mezer]]),".",LOWER(Tabulka1[[#This Row],[Jmeno bez mezer]]),"@firmaabc.cz")</f>
        <v>malinska.dana@firmaabc.cz</v>
      </c>
      <c r="I464" s="2" t="str">
        <f>_xlfn.CONCAT(LOWER(LEFT(Tabulka1[[#This Row],[příjmení bez mezer]],3)),UPPER(RIGHT(Tabulka1[[#This Row],[Jmeno bez mezer]],2)))</f>
        <v>malNA</v>
      </c>
      <c r="J464" s="2" t="s">
        <v>1583</v>
      </c>
      <c r="K464" s="2" t="s">
        <v>1984</v>
      </c>
      <c r="L464" s="3" t="s">
        <v>2471</v>
      </c>
    </row>
    <row r="465" spans="1:12" ht="30" x14ac:dyDescent="0.25">
      <c r="A465" s="2" t="s">
        <v>1045</v>
      </c>
      <c r="B465" t="s">
        <v>1046</v>
      </c>
      <c r="C465" t="s">
        <v>1047</v>
      </c>
      <c r="D465" t="str">
        <f>TRIM(Tabulka1[[#This Row],[Jméno]])</f>
        <v>Milos</v>
      </c>
      <c r="E465" t="str">
        <f>TRIM(Tabulka1[[#This Row],[Příjmení]])</f>
        <v>Smejkal</v>
      </c>
      <c r="F465" s="2" t="str">
        <f>MID(Tabulka1[[#This Row],[Adresa]],1,SEARCH(",",Tabulka1[[#This Row],[Adresa]])-1)</f>
        <v>Na Kopci 1282</v>
      </c>
      <c r="G465" s="2" t="str">
        <f>RIGHT(Tabulka1[[#This Row],[Adresa]],LEN(Tabulka1[[#This Row],[Adresa]])-LEN(Tabulka1[[#This Row],[Ulice]])-1)</f>
        <v>Vápno u Prelouce</v>
      </c>
      <c r="H465" s="2" t="str">
        <f>_xlfn.CONCAT(LOWER(Tabulka1[[#This Row],[příjmení bez mezer]]),".",LOWER(Tabulka1[[#This Row],[Jmeno bez mezer]]),"@firmaabc.cz")</f>
        <v>smejkal.milos@firmaabc.cz</v>
      </c>
      <c r="I465" s="2" t="str">
        <f>_xlfn.CONCAT(LOWER(LEFT(Tabulka1[[#This Row],[příjmení bez mezer]],3)),UPPER(RIGHT(Tabulka1[[#This Row],[Jmeno bez mezer]],2)))</f>
        <v>smeOS</v>
      </c>
      <c r="J465" s="2" t="s">
        <v>1584</v>
      </c>
      <c r="K465" s="2" t="s">
        <v>1985</v>
      </c>
      <c r="L465" s="3" t="s">
        <v>2472</v>
      </c>
    </row>
    <row r="466" spans="1:12" ht="60" x14ac:dyDescent="0.25">
      <c r="A466" s="2" t="s">
        <v>1048</v>
      </c>
      <c r="B466" t="s">
        <v>85</v>
      </c>
      <c r="C466" t="s">
        <v>1049</v>
      </c>
      <c r="D466" t="str">
        <f>TRIM(Tabulka1[[#This Row],[Jméno]])</f>
        <v>Martin</v>
      </c>
      <c r="E466" t="str">
        <f>TRIM(Tabulka1[[#This Row],[Příjmení]])</f>
        <v>Peterka</v>
      </c>
      <c r="F466" s="2" t="str">
        <f>MID(Tabulka1[[#This Row],[Adresa]],1,SEARCH(",",Tabulka1[[#This Row],[Adresa]])-1)</f>
        <v>U divadla 1728</v>
      </c>
      <c r="G466" s="2" t="str">
        <f>RIGHT(Tabulka1[[#This Row],[Adresa]],LEN(Tabulka1[[#This Row],[Adresa]])-LEN(Tabulka1[[#This Row],[Ulice]])-1)</f>
        <v>Oldrichov u Duchcova</v>
      </c>
      <c r="H466" s="2" t="str">
        <f>_xlfn.CONCAT(LOWER(Tabulka1[[#This Row],[příjmení bez mezer]]),".",LOWER(Tabulka1[[#This Row],[Jmeno bez mezer]]),"@firmaabc.cz")</f>
        <v>peterka.martin@firmaabc.cz</v>
      </c>
      <c r="I466" s="2" t="str">
        <f>_xlfn.CONCAT(LOWER(LEFT(Tabulka1[[#This Row],[příjmení bez mezer]],3)),UPPER(RIGHT(Tabulka1[[#This Row],[Jmeno bez mezer]],2)))</f>
        <v>petIN</v>
      </c>
      <c r="J466" s="2" t="s">
        <v>1585</v>
      </c>
      <c r="K466" s="2" t="s">
        <v>1986</v>
      </c>
      <c r="L466" s="3" t="s">
        <v>2473</v>
      </c>
    </row>
    <row r="467" spans="1:12" ht="45" x14ac:dyDescent="0.25">
      <c r="A467" s="2" t="s">
        <v>1050</v>
      </c>
      <c r="B467" t="s">
        <v>1051</v>
      </c>
      <c r="C467" t="s">
        <v>1052</v>
      </c>
      <c r="D467" t="str">
        <f>TRIM(Tabulka1[[#This Row],[Jméno]])</f>
        <v>Waldemar</v>
      </c>
      <c r="E467" t="str">
        <f>TRIM(Tabulka1[[#This Row],[Příjmení]])</f>
        <v>Prusa</v>
      </c>
      <c r="F467" s="2" t="str">
        <f>MID(Tabulka1[[#This Row],[Adresa]],1,SEARCH(",",Tabulka1[[#This Row],[Adresa]])-1)</f>
        <v>Klimenta Čermáka 1117</v>
      </c>
      <c r="G467" s="2" t="str">
        <f>RIGHT(Tabulka1[[#This Row],[Adresa]],LEN(Tabulka1[[#This Row],[Adresa]])-LEN(Tabulka1[[#This Row],[Ulice]])-1)</f>
        <v>Cáslav</v>
      </c>
      <c r="H467" s="2" t="str">
        <f>_xlfn.CONCAT(LOWER(Tabulka1[[#This Row],[příjmení bez mezer]]),".",LOWER(Tabulka1[[#This Row],[Jmeno bez mezer]]),"@firmaabc.cz")</f>
        <v>prusa.waldemar@firmaabc.cz</v>
      </c>
      <c r="I467" s="2" t="str">
        <f>_xlfn.CONCAT(LOWER(LEFT(Tabulka1[[#This Row],[příjmení bez mezer]],3)),UPPER(RIGHT(Tabulka1[[#This Row],[Jmeno bez mezer]],2)))</f>
        <v>pruAR</v>
      </c>
      <c r="J467" s="2" t="s">
        <v>1586</v>
      </c>
      <c r="K467" s="2" t="s">
        <v>1727</v>
      </c>
      <c r="L467" s="3" t="s">
        <v>2474</v>
      </c>
    </row>
    <row r="468" spans="1:12" ht="30" x14ac:dyDescent="0.25">
      <c r="A468" s="2" t="s">
        <v>1053</v>
      </c>
      <c r="B468" t="s">
        <v>178</v>
      </c>
      <c r="C468" t="s">
        <v>1054</v>
      </c>
      <c r="D468" t="str">
        <f>TRIM(Tabulka1[[#This Row],[Jméno]])</f>
        <v>Jaroslav</v>
      </c>
      <c r="E468" t="str">
        <f>TRIM(Tabulka1[[#This Row],[Příjmení]])</f>
        <v>Dolezal</v>
      </c>
      <c r="F468" s="2" t="str">
        <f>MID(Tabulka1[[#This Row],[Adresa]],1,SEARCH(",",Tabulka1[[#This Row],[Adresa]])-1)</f>
        <v>Teperova 268</v>
      </c>
      <c r="G468" s="2" t="str">
        <f>RIGHT(Tabulka1[[#This Row],[Adresa]],LEN(Tabulka1[[#This Row],[Adresa]])-LEN(Tabulka1[[#This Row],[Ulice]])-1)</f>
        <v>Moravany u Brna</v>
      </c>
      <c r="H468" s="2" t="str">
        <f>_xlfn.CONCAT(LOWER(Tabulka1[[#This Row],[příjmení bez mezer]]),".",LOWER(Tabulka1[[#This Row],[Jmeno bez mezer]]),"@firmaabc.cz")</f>
        <v>dolezal.jaroslav@firmaabc.cz</v>
      </c>
      <c r="I468" s="2" t="str">
        <f>_xlfn.CONCAT(LOWER(LEFT(Tabulka1[[#This Row],[příjmení bez mezer]],3)),UPPER(RIGHT(Tabulka1[[#This Row],[Jmeno bez mezer]],2)))</f>
        <v>dolAV</v>
      </c>
      <c r="J468" s="2" t="s">
        <v>1587</v>
      </c>
      <c r="K468" s="2" t="s">
        <v>1980</v>
      </c>
      <c r="L468" s="3" t="s">
        <v>2475</v>
      </c>
    </row>
    <row r="469" spans="1:12" ht="30" x14ac:dyDescent="0.25">
      <c r="A469" s="2" t="s">
        <v>1055</v>
      </c>
      <c r="B469" t="s">
        <v>148</v>
      </c>
      <c r="C469" t="s">
        <v>417</v>
      </c>
      <c r="D469" t="str">
        <f>TRIM(Tabulka1[[#This Row],[Jméno]])</f>
        <v>Josef</v>
      </c>
      <c r="E469" t="str">
        <f>TRIM(Tabulka1[[#This Row],[Příjmení]])</f>
        <v>Svec</v>
      </c>
      <c r="F469" s="2" t="str">
        <f>MID(Tabulka1[[#This Row],[Adresa]],1,SEARCH(",",Tabulka1[[#This Row],[Adresa]])-1)</f>
        <v>Hájecká 1339</v>
      </c>
      <c r="G469" s="2" t="str">
        <f>RIGHT(Tabulka1[[#This Row],[Adresa]],LEN(Tabulka1[[#This Row],[Adresa]])-LEN(Tabulka1[[#This Row],[Ulice]])-1)</f>
        <v>Vraný u Slaného</v>
      </c>
      <c r="H469" s="2" t="str">
        <f>_xlfn.CONCAT(LOWER(Tabulka1[[#This Row],[příjmení bez mezer]]),".",LOWER(Tabulka1[[#This Row],[Jmeno bez mezer]]),"@firmaabc.cz")</f>
        <v>svec.josef@firmaabc.cz</v>
      </c>
      <c r="I469" s="2" t="str">
        <f>_xlfn.CONCAT(LOWER(LEFT(Tabulka1[[#This Row],[příjmení bez mezer]],3)),UPPER(RIGHT(Tabulka1[[#This Row],[Jmeno bez mezer]],2)))</f>
        <v>sveEF</v>
      </c>
      <c r="J469" s="2" t="s">
        <v>1588</v>
      </c>
      <c r="K469" s="2" t="s">
        <v>1987</v>
      </c>
      <c r="L469" s="3" t="s">
        <v>2476</v>
      </c>
    </row>
    <row r="470" spans="1:12" x14ac:dyDescent="0.25">
      <c r="A470" s="2" t="s">
        <v>1056</v>
      </c>
      <c r="B470" t="s">
        <v>91</v>
      </c>
      <c r="C470" t="s">
        <v>1057</v>
      </c>
      <c r="D470" t="str">
        <f>TRIM(Tabulka1[[#This Row],[Jméno]])</f>
        <v>Vera</v>
      </c>
      <c r="E470" t="str">
        <f>TRIM(Tabulka1[[#This Row],[Příjmení]])</f>
        <v>Novosadova</v>
      </c>
      <c r="F470" s="2" t="str">
        <f>MID(Tabulka1[[#This Row],[Adresa]],1,SEARCH(",",Tabulka1[[#This Row],[Adresa]])-1)</f>
        <v>Střední 867</v>
      </c>
      <c r="G470" s="2" t="str">
        <f>RIGHT(Tabulka1[[#This Row],[Adresa]],LEN(Tabulka1[[#This Row],[Adresa]])-LEN(Tabulka1[[#This Row],[Ulice]])-1)</f>
        <v>Stod</v>
      </c>
      <c r="H470" s="2" t="str">
        <f>_xlfn.CONCAT(LOWER(Tabulka1[[#This Row],[příjmení bez mezer]]),".",LOWER(Tabulka1[[#This Row],[Jmeno bez mezer]]),"@firmaabc.cz")</f>
        <v>novosadova.vera@firmaabc.cz</v>
      </c>
      <c r="I470" s="2" t="str">
        <f>_xlfn.CONCAT(LOWER(LEFT(Tabulka1[[#This Row],[příjmení bez mezer]],3)),UPPER(RIGHT(Tabulka1[[#This Row],[Jmeno bez mezer]],2)))</f>
        <v>novRA</v>
      </c>
      <c r="J470" s="2" t="s">
        <v>1589</v>
      </c>
      <c r="K470" s="2" t="s">
        <v>1856</v>
      </c>
      <c r="L470" s="3" t="s">
        <v>2477</v>
      </c>
    </row>
    <row r="471" spans="1:12" x14ac:dyDescent="0.25">
      <c r="A471" s="2" t="s">
        <v>1058</v>
      </c>
      <c r="B471" t="s">
        <v>148</v>
      </c>
      <c r="C471" t="s">
        <v>517</v>
      </c>
      <c r="D471" t="str">
        <f>TRIM(Tabulka1[[#This Row],[Jméno]])</f>
        <v>Josef</v>
      </c>
      <c r="E471" t="str">
        <f>TRIM(Tabulka1[[#This Row],[Příjmení]])</f>
        <v>Slavik</v>
      </c>
      <c r="F471" s="2" t="str">
        <f>MID(Tabulka1[[#This Row],[Adresa]],1,SEARCH(",",Tabulka1[[#This Row],[Adresa]])-1)</f>
        <v>Jičín 1077</v>
      </c>
      <c r="G471" s="2" t="str">
        <f>RIGHT(Tabulka1[[#This Row],[Adresa]],LEN(Tabulka1[[#This Row],[Adresa]])-LEN(Tabulka1[[#This Row],[Ulice]])-1)</f>
        <v>Jicín 1</v>
      </c>
      <c r="H471" s="2" t="str">
        <f>_xlfn.CONCAT(LOWER(Tabulka1[[#This Row],[příjmení bez mezer]]),".",LOWER(Tabulka1[[#This Row],[Jmeno bez mezer]]),"@firmaabc.cz")</f>
        <v>slavik.josef@firmaabc.cz</v>
      </c>
      <c r="I471" s="2" t="str">
        <f>_xlfn.CONCAT(LOWER(LEFT(Tabulka1[[#This Row],[příjmení bez mezer]],3)),UPPER(RIGHT(Tabulka1[[#This Row],[Jmeno bez mezer]],2)))</f>
        <v>slaEF</v>
      </c>
      <c r="J471" s="2" t="s">
        <v>1590</v>
      </c>
      <c r="K471" s="2" t="s">
        <v>1754</v>
      </c>
      <c r="L471" s="3" t="s">
        <v>2478</v>
      </c>
    </row>
    <row r="472" spans="1:12" x14ac:dyDescent="0.25">
      <c r="A472" s="2" t="s">
        <v>1059</v>
      </c>
      <c r="B472" t="s">
        <v>24</v>
      </c>
      <c r="C472" t="s">
        <v>1060</v>
      </c>
      <c r="D472" t="str">
        <f>TRIM(Tabulka1[[#This Row],[Jméno]])</f>
        <v>Jan</v>
      </c>
      <c r="E472" t="str">
        <f>TRIM(Tabulka1[[#This Row],[Příjmení]])</f>
        <v>Macha</v>
      </c>
      <c r="F472" s="2" t="str">
        <f>MID(Tabulka1[[#This Row],[Adresa]],1,SEARCH(",",Tabulka1[[#This Row],[Adresa]])-1)</f>
        <v>Školní 1421</v>
      </c>
      <c r="G472" s="2" t="str">
        <f>RIGHT(Tabulka1[[#This Row],[Adresa]],LEN(Tabulka1[[#This Row],[Adresa]])-LEN(Tabulka1[[#This Row],[Ulice]])-1)</f>
        <v>Klatovy 1</v>
      </c>
      <c r="H472" s="2" t="str">
        <f>_xlfn.CONCAT(LOWER(Tabulka1[[#This Row],[příjmení bez mezer]]),".",LOWER(Tabulka1[[#This Row],[Jmeno bez mezer]]),"@firmaabc.cz")</f>
        <v>macha.jan@firmaabc.cz</v>
      </c>
      <c r="I472" s="2" t="str">
        <f>_xlfn.CONCAT(LOWER(LEFT(Tabulka1[[#This Row],[příjmení bez mezer]],3)),UPPER(RIGHT(Tabulka1[[#This Row],[Jmeno bez mezer]],2)))</f>
        <v>macAN</v>
      </c>
      <c r="J472" s="2" t="s">
        <v>1591</v>
      </c>
      <c r="K472" s="2" t="s">
        <v>1941</v>
      </c>
      <c r="L472" s="3" t="s">
        <v>2479</v>
      </c>
    </row>
    <row r="473" spans="1:12" ht="30" x14ac:dyDescent="0.25">
      <c r="A473" s="2" t="s">
        <v>1061</v>
      </c>
      <c r="B473" t="s">
        <v>189</v>
      </c>
      <c r="C473" t="s">
        <v>1062</v>
      </c>
      <c r="D473" t="str">
        <f>TRIM(Tabulka1[[#This Row],[Jméno]])</f>
        <v>Jana</v>
      </c>
      <c r="E473" t="str">
        <f>TRIM(Tabulka1[[#This Row],[Příjmení]])</f>
        <v>Marouskova</v>
      </c>
      <c r="F473" s="2" t="str">
        <f>MID(Tabulka1[[#This Row],[Adresa]],1,SEARCH(",",Tabulka1[[#This Row],[Adresa]])-1)</f>
        <v>Nerudova 405</v>
      </c>
      <c r="G473" s="2" t="str">
        <f>RIGHT(Tabulka1[[#This Row],[Adresa]],LEN(Tabulka1[[#This Row],[Adresa]])-LEN(Tabulka1[[#This Row],[Ulice]])-1)</f>
        <v>Borovany</v>
      </c>
      <c r="H473" s="2" t="str">
        <f>_xlfn.CONCAT(LOWER(Tabulka1[[#This Row],[příjmení bez mezer]]),".",LOWER(Tabulka1[[#This Row],[Jmeno bez mezer]]),"@firmaabc.cz")</f>
        <v>marouskova.jana@firmaabc.cz</v>
      </c>
      <c r="I473" s="2" t="str">
        <f>_xlfn.CONCAT(LOWER(LEFT(Tabulka1[[#This Row],[příjmení bez mezer]],3)),UPPER(RIGHT(Tabulka1[[#This Row],[Jmeno bez mezer]],2)))</f>
        <v>marNA</v>
      </c>
      <c r="J473" s="2" t="s">
        <v>1592</v>
      </c>
      <c r="K473" s="2" t="s">
        <v>1988</v>
      </c>
      <c r="L473" s="3" t="s">
        <v>2480</v>
      </c>
    </row>
    <row r="474" spans="1:12" ht="45" x14ac:dyDescent="0.25">
      <c r="A474" s="2" t="s">
        <v>1063</v>
      </c>
      <c r="B474" t="s">
        <v>1064</v>
      </c>
      <c r="C474" t="s">
        <v>576</v>
      </c>
      <c r="D474" t="str">
        <f>TRIM(Tabulka1[[#This Row],[Jméno]])</f>
        <v>Ivanka</v>
      </c>
      <c r="E474" t="str">
        <f>TRIM(Tabulka1[[#This Row],[Příjmení]])</f>
        <v>Krizova</v>
      </c>
      <c r="F474" s="2" t="str">
        <f>MID(Tabulka1[[#This Row],[Adresa]],1,SEARCH(",",Tabulka1[[#This Row],[Adresa]])-1)</f>
        <v>Pod Floriánem 532</v>
      </c>
      <c r="G474" s="2" t="str">
        <f>RIGHT(Tabulka1[[#This Row],[Adresa]],LEN(Tabulka1[[#This Row],[Adresa]])-LEN(Tabulka1[[#This Row],[Ulice]])-1)</f>
        <v>Pelhrimov</v>
      </c>
      <c r="H474" s="2" t="str">
        <f>_xlfn.CONCAT(LOWER(Tabulka1[[#This Row],[příjmení bez mezer]]),".",LOWER(Tabulka1[[#This Row],[Jmeno bez mezer]]),"@firmaabc.cz")</f>
        <v>krizova.ivanka@firmaabc.cz</v>
      </c>
      <c r="I474" s="2" t="str">
        <f>_xlfn.CONCAT(LOWER(LEFT(Tabulka1[[#This Row],[příjmení bez mezer]],3)),UPPER(RIGHT(Tabulka1[[#This Row],[Jmeno bez mezer]],2)))</f>
        <v>kriKA</v>
      </c>
      <c r="J474" s="2" t="s">
        <v>1593</v>
      </c>
      <c r="K474" s="2" t="s">
        <v>1832</v>
      </c>
      <c r="L474" s="3" t="s">
        <v>2481</v>
      </c>
    </row>
    <row r="475" spans="1:12" ht="45" x14ac:dyDescent="0.25">
      <c r="A475" s="2" t="s">
        <v>1065</v>
      </c>
      <c r="B475" t="s">
        <v>15</v>
      </c>
      <c r="C475" t="s">
        <v>1066</v>
      </c>
      <c r="D475" t="str">
        <f>TRIM(Tabulka1[[#This Row],[Jméno]])</f>
        <v>Vladimir</v>
      </c>
      <c r="E475" t="str">
        <f>TRIM(Tabulka1[[#This Row],[Příjmení]])</f>
        <v>?Vesely</v>
      </c>
      <c r="F475" s="2" t="str">
        <f>MID(Tabulka1[[#This Row],[Adresa]],1,SEARCH(",",Tabulka1[[#This Row],[Adresa]])-1)</f>
        <v>Větrník 129</v>
      </c>
      <c r="G475" s="2" t="str">
        <f>RIGHT(Tabulka1[[#This Row],[Adresa]],LEN(Tabulka1[[#This Row],[Adresa]])-LEN(Tabulka1[[#This Row],[Ulice]])-1)</f>
        <v>Police nad Metují</v>
      </c>
      <c r="H475" s="2" t="str">
        <f>_xlfn.CONCAT(LOWER(Tabulka1[[#This Row],[příjmení bez mezer]]),".",LOWER(Tabulka1[[#This Row],[Jmeno bez mezer]]),"@firmaabc.cz")</f>
        <v>?vesely.vladimir@firmaabc.cz</v>
      </c>
      <c r="I475" s="2" t="str">
        <f>_xlfn.CONCAT(LOWER(LEFT(Tabulka1[[#This Row],[příjmení bez mezer]],3)),UPPER(RIGHT(Tabulka1[[#This Row],[Jmeno bez mezer]],2)))</f>
        <v>?veIR</v>
      </c>
      <c r="J475" s="2" t="s">
        <v>1594</v>
      </c>
      <c r="K475" s="2" t="s">
        <v>1989</v>
      </c>
      <c r="L475" s="3" t="s">
        <v>2482</v>
      </c>
    </row>
    <row r="476" spans="1:12" ht="90" x14ac:dyDescent="0.25">
      <c r="A476" s="2" t="s">
        <v>1067</v>
      </c>
      <c r="B476" t="s">
        <v>362</v>
      </c>
      <c r="C476" t="s">
        <v>1068</v>
      </c>
      <c r="D476" t="str">
        <f>TRIM(Tabulka1[[#This Row],[Jméno]])</f>
        <v>Danuse</v>
      </c>
      <c r="E476" t="str">
        <f>TRIM(Tabulka1[[#This Row],[Příjmení]])</f>
        <v>Bilkova</v>
      </c>
      <c r="F476" s="2" t="str">
        <f>MID(Tabulka1[[#This Row],[Adresa]],1,SEARCH(",",Tabulka1[[#This Row],[Adresa]])-1)</f>
        <v>Dobrovského 1934</v>
      </c>
      <c r="G476" s="2" t="str">
        <f>RIGHT(Tabulka1[[#This Row],[Adresa]],LEN(Tabulka1[[#This Row],[Adresa]])-LEN(Tabulka1[[#This Row],[Ulice]])-1)</f>
        <v>Lodenice u Moravského Krumlova</v>
      </c>
      <c r="H476" s="2" t="str">
        <f>_xlfn.CONCAT(LOWER(Tabulka1[[#This Row],[příjmení bez mezer]]),".",LOWER(Tabulka1[[#This Row],[Jmeno bez mezer]]),"@firmaabc.cz")</f>
        <v>bilkova.danuse@firmaabc.cz</v>
      </c>
      <c r="I476" s="2" t="str">
        <f>_xlfn.CONCAT(LOWER(LEFT(Tabulka1[[#This Row],[příjmení bez mezer]],3)),UPPER(RIGHT(Tabulka1[[#This Row],[Jmeno bez mezer]],2)))</f>
        <v>bilSE</v>
      </c>
      <c r="J476" s="2" t="s">
        <v>1595</v>
      </c>
      <c r="K476" s="2" t="s">
        <v>1990</v>
      </c>
      <c r="L476" s="3" t="s">
        <v>2483</v>
      </c>
    </row>
    <row r="477" spans="1:12" ht="30" x14ac:dyDescent="0.25">
      <c r="A477" s="2" t="s">
        <v>1069</v>
      </c>
      <c r="B477" t="s">
        <v>123</v>
      </c>
      <c r="C477" t="s">
        <v>1070</v>
      </c>
      <c r="D477" t="str">
        <f>TRIM(Tabulka1[[#This Row],[Jméno]])</f>
        <v>Veronika</v>
      </c>
      <c r="E477" t="str">
        <f>TRIM(Tabulka1[[#This Row],[Příjmení]])</f>
        <v>Pytlikova</v>
      </c>
      <c r="F477" s="2" t="str">
        <f>MID(Tabulka1[[#This Row],[Adresa]],1,SEARCH(",",Tabulka1[[#This Row],[Adresa]])-1)</f>
        <v>Dašická 1080</v>
      </c>
      <c r="G477" s="2" t="str">
        <f>RIGHT(Tabulka1[[#This Row],[Adresa]],LEN(Tabulka1[[#This Row],[Adresa]])-LEN(Tabulka1[[#This Row],[Ulice]])-1)</f>
        <v>Holice v Cechách</v>
      </c>
      <c r="H477" s="2" t="str">
        <f>_xlfn.CONCAT(LOWER(Tabulka1[[#This Row],[příjmení bez mezer]]),".",LOWER(Tabulka1[[#This Row],[Jmeno bez mezer]]),"@firmaabc.cz")</f>
        <v>pytlikova.veronika@firmaabc.cz</v>
      </c>
      <c r="I477" s="2" t="str">
        <f>_xlfn.CONCAT(LOWER(LEFT(Tabulka1[[#This Row],[příjmení bez mezer]],3)),UPPER(RIGHT(Tabulka1[[#This Row],[Jmeno bez mezer]],2)))</f>
        <v>pytKA</v>
      </c>
      <c r="J477" s="2" t="s">
        <v>1596</v>
      </c>
      <c r="K477" s="2" t="s">
        <v>1634</v>
      </c>
      <c r="L477" s="3" t="s">
        <v>2484</v>
      </c>
    </row>
    <row r="478" spans="1:12" ht="30" x14ac:dyDescent="0.25">
      <c r="A478" s="2" t="s">
        <v>1071</v>
      </c>
      <c r="B478" t="s">
        <v>79</v>
      </c>
      <c r="C478" t="s">
        <v>163</v>
      </c>
      <c r="D478" t="str">
        <f>TRIM(Tabulka1[[#This Row],[Jméno]])</f>
        <v>Miroslav</v>
      </c>
      <c r="E478" t="str">
        <f>TRIM(Tabulka1[[#This Row],[Příjmení]])</f>
        <v>Novak</v>
      </c>
      <c r="F478" s="2" t="str">
        <f>MID(Tabulka1[[#This Row],[Adresa]],1,SEARCH(",",Tabulka1[[#This Row],[Adresa]])-1)</f>
        <v>Alšova 1314</v>
      </c>
      <c r="G478" s="2" t="str">
        <f>RIGHT(Tabulka1[[#This Row],[Adresa]],LEN(Tabulka1[[#This Row],[Adresa]])-LEN(Tabulka1[[#This Row],[Ulice]])-1)</f>
        <v>Tálín</v>
      </c>
      <c r="H478" s="2" t="str">
        <f>_xlfn.CONCAT(LOWER(Tabulka1[[#This Row],[příjmení bez mezer]]),".",LOWER(Tabulka1[[#This Row],[Jmeno bez mezer]]),"@firmaabc.cz")</f>
        <v>novak.miroslav@firmaabc.cz</v>
      </c>
      <c r="I478" s="2" t="str">
        <f>_xlfn.CONCAT(LOWER(LEFT(Tabulka1[[#This Row],[příjmení bez mezer]],3)),UPPER(RIGHT(Tabulka1[[#This Row],[Jmeno bez mezer]],2)))</f>
        <v>novAV</v>
      </c>
      <c r="J478" s="2" t="s">
        <v>1597</v>
      </c>
      <c r="K478" s="2" t="s">
        <v>1991</v>
      </c>
      <c r="L478" s="3" t="s">
        <v>2485</v>
      </c>
    </row>
    <row r="479" spans="1:12" ht="30" x14ac:dyDescent="0.25">
      <c r="A479" s="2" t="s">
        <v>1072</v>
      </c>
      <c r="B479" t="s">
        <v>123</v>
      </c>
      <c r="C479" t="s">
        <v>363</v>
      </c>
      <c r="D479" t="str">
        <f>TRIM(Tabulka1[[#This Row],[Jméno]])</f>
        <v>Veronika</v>
      </c>
      <c r="E479" t="str">
        <f>TRIM(Tabulka1[[#This Row],[Příjmení]])</f>
        <v>Hajkova</v>
      </c>
      <c r="F479" s="2" t="str">
        <f>MID(Tabulka1[[#This Row],[Adresa]],1,SEARCH(",",Tabulka1[[#This Row],[Adresa]])-1)</f>
        <v>Jiráskova 449</v>
      </c>
      <c r="G479" s="2" t="str">
        <f>RIGHT(Tabulka1[[#This Row],[Adresa]],LEN(Tabulka1[[#This Row],[Adresa]])-LEN(Tabulka1[[#This Row],[Ulice]])-1)</f>
        <v>Miletín</v>
      </c>
      <c r="H479" s="2" t="str">
        <f>_xlfn.CONCAT(LOWER(Tabulka1[[#This Row],[příjmení bez mezer]]),".",LOWER(Tabulka1[[#This Row],[Jmeno bez mezer]]),"@firmaabc.cz")</f>
        <v>hajkova.veronika@firmaabc.cz</v>
      </c>
      <c r="I479" s="2" t="str">
        <f>_xlfn.CONCAT(LOWER(LEFT(Tabulka1[[#This Row],[příjmení bez mezer]],3)),UPPER(RIGHT(Tabulka1[[#This Row],[Jmeno bez mezer]],2)))</f>
        <v>hajKA</v>
      </c>
      <c r="J479" s="2" t="s">
        <v>1598</v>
      </c>
      <c r="K479" s="2" t="s">
        <v>1992</v>
      </c>
      <c r="L479" s="3" t="s">
        <v>2486</v>
      </c>
    </row>
    <row r="480" spans="1:12" ht="30" x14ac:dyDescent="0.25">
      <c r="A480" s="2" t="s">
        <v>1073</v>
      </c>
      <c r="B480" t="s">
        <v>1074</v>
      </c>
      <c r="C480" t="s">
        <v>1075</v>
      </c>
      <c r="D480" t="str">
        <f>TRIM(Tabulka1[[#This Row],[Jméno]])</f>
        <v>Lada</v>
      </c>
      <c r="E480" t="str">
        <f>TRIM(Tabulka1[[#This Row],[Příjmení]])</f>
        <v>Brozikova</v>
      </c>
      <c r="F480" s="2" t="str">
        <f>MID(Tabulka1[[#This Row],[Adresa]],1,SEARCH(",",Tabulka1[[#This Row],[Adresa]])-1)</f>
        <v>Palackého 238</v>
      </c>
      <c r="G480" s="2" t="str">
        <f>RIGHT(Tabulka1[[#This Row],[Adresa]],LEN(Tabulka1[[#This Row],[Adresa]])-LEN(Tabulka1[[#This Row],[Ulice]])-1)</f>
        <v>Božejov</v>
      </c>
      <c r="H480" s="2" t="str">
        <f>_xlfn.CONCAT(LOWER(Tabulka1[[#This Row],[příjmení bez mezer]]),".",LOWER(Tabulka1[[#This Row],[Jmeno bez mezer]]),"@firmaabc.cz")</f>
        <v>brozikova.lada@firmaabc.cz</v>
      </c>
      <c r="I480" s="2" t="str">
        <f>_xlfn.CONCAT(LOWER(LEFT(Tabulka1[[#This Row],[příjmení bez mezer]],3)),UPPER(RIGHT(Tabulka1[[#This Row],[Jmeno bez mezer]],2)))</f>
        <v>broDA</v>
      </c>
      <c r="J480" s="2" t="s">
        <v>1599</v>
      </c>
      <c r="K480" s="2" t="s">
        <v>1993</v>
      </c>
      <c r="L480" s="3" t="s">
        <v>2487</v>
      </c>
    </row>
    <row r="481" spans="1:12" ht="60" x14ac:dyDescent="0.25">
      <c r="A481" s="2" t="s">
        <v>1076</v>
      </c>
      <c r="B481" t="s">
        <v>88</v>
      </c>
      <c r="C481" t="s">
        <v>1077</v>
      </c>
      <c r="D481" t="str">
        <f>TRIM(Tabulka1[[#This Row],[Jméno]])</f>
        <v>Pavel</v>
      </c>
      <c r="E481" t="str">
        <f>TRIM(Tabulka1[[#This Row],[Příjmení]])</f>
        <v>Rajtr</v>
      </c>
      <c r="F481" s="2" t="str">
        <f>MID(Tabulka1[[#This Row],[Adresa]],1,SEARCH(",",Tabulka1[[#This Row],[Adresa]])-1)</f>
        <v>Spodní Pustá 1872</v>
      </c>
      <c r="G481" s="2" t="str">
        <f>RIGHT(Tabulka1[[#This Row],[Adresa]],LEN(Tabulka1[[#This Row],[Adresa]])-LEN(Tabulka1[[#This Row],[Ulice]])-1)</f>
        <v>Bukovany u Hodonína</v>
      </c>
      <c r="H481" s="2" t="str">
        <f>_xlfn.CONCAT(LOWER(Tabulka1[[#This Row],[příjmení bez mezer]]),".",LOWER(Tabulka1[[#This Row],[Jmeno bez mezer]]),"@firmaabc.cz")</f>
        <v>rajtr.pavel@firmaabc.cz</v>
      </c>
      <c r="I481" s="2" t="str">
        <f>_xlfn.CONCAT(LOWER(LEFT(Tabulka1[[#This Row],[příjmení bez mezer]],3)),UPPER(RIGHT(Tabulka1[[#This Row],[Jmeno bez mezer]],2)))</f>
        <v>rajEL</v>
      </c>
      <c r="J481" s="2" t="s">
        <v>1600</v>
      </c>
      <c r="K481" s="2" t="s">
        <v>1994</v>
      </c>
      <c r="L481" s="3" t="s">
        <v>2488</v>
      </c>
    </row>
    <row r="482" spans="1:12" ht="30" x14ac:dyDescent="0.25">
      <c r="A482" s="2" t="s">
        <v>1078</v>
      </c>
      <c r="B482" t="s">
        <v>1079</v>
      </c>
      <c r="C482" t="s">
        <v>1080</v>
      </c>
      <c r="D482" t="str">
        <f>TRIM(Tabulka1[[#This Row],[Jméno]])</f>
        <v>Alex</v>
      </c>
      <c r="E482" t="str">
        <f>TRIM(Tabulka1[[#This Row],[Příjmení]])</f>
        <v>Vojta</v>
      </c>
      <c r="F482" s="2" t="str">
        <f>MID(Tabulka1[[#This Row],[Adresa]],1,SEARCH(",",Tabulka1[[#This Row],[Adresa]])-1)</f>
        <v>Na Výsluní 1462</v>
      </c>
      <c r="G482" s="2" t="str">
        <f>RIGHT(Tabulka1[[#This Row],[Adresa]],LEN(Tabulka1[[#This Row],[Adresa]])-LEN(Tabulka1[[#This Row],[Ulice]])-1)</f>
        <v>Stríbro</v>
      </c>
      <c r="H482" s="2" t="str">
        <f>_xlfn.CONCAT(LOWER(Tabulka1[[#This Row],[příjmení bez mezer]]),".",LOWER(Tabulka1[[#This Row],[Jmeno bez mezer]]),"@firmaabc.cz")</f>
        <v>vojta.alex@firmaabc.cz</v>
      </c>
      <c r="I482" s="2" t="str">
        <f>_xlfn.CONCAT(LOWER(LEFT(Tabulka1[[#This Row],[příjmení bez mezer]],3)),UPPER(RIGHT(Tabulka1[[#This Row],[Jmeno bez mezer]],2)))</f>
        <v>vojEX</v>
      </c>
      <c r="J482" s="2" t="s">
        <v>1601</v>
      </c>
      <c r="K482" s="2" t="s">
        <v>1691</v>
      </c>
      <c r="L482" s="3" t="s">
        <v>2489</v>
      </c>
    </row>
    <row r="483" spans="1:12" ht="30" x14ac:dyDescent="0.25">
      <c r="A483" s="2" t="s">
        <v>1081</v>
      </c>
      <c r="B483" t="s">
        <v>88</v>
      </c>
      <c r="C483" t="s">
        <v>776</v>
      </c>
      <c r="D483" t="str">
        <f>TRIM(Tabulka1[[#This Row],[Jméno]])</f>
        <v>Pavel</v>
      </c>
      <c r="E483" t="str">
        <f>TRIM(Tabulka1[[#This Row],[Příjmení]])</f>
        <v>Novotny</v>
      </c>
      <c r="F483" s="2" t="str">
        <f>MID(Tabulka1[[#This Row],[Adresa]],1,SEARCH(",",Tabulka1[[#This Row],[Adresa]])-1)</f>
        <v>Hálkova 1686</v>
      </c>
      <c r="G483" s="2" t="str">
        <f>RIGHT(Tabulka1[[#This Row],[Adresa]],LEN(Tabulka1[[#This Row],[Adresa]])-LEN(Tabulka1[[#This Row],[Ulice]])-1)</f>
        <v>Volfartice</v>
      </c>
      <c r="H483" s="2" t="str">
        <f>_xlfn.CONCAT(LOWER(Tabulka1[[#This Row],[příjmení bez mezer]]),".",LOWER(Tabulka1[[#This Row],[Jmeno bez mezer]]),"@firmaabc.cz")</f>
        <v>novotny.pavel@firmaabc.cz</v>
      </c>
      <c r="I483" s="2" t="str">
        <f>_xlfn.CONCAT(LOWER(LEFT(Tabulka1[[#This Row],[příjmení bez mezer]],3)),UPPER(RIGHT(Tabulka1[[#This Row],[Jmeno bez mezer]],2)))</f>
        <v>novEL</v>
      </c>
      <c r="J483" s="2" t="s">
        <v>1602</v>
      </c>
      <c r="K483" s="2" t="s">
        <v>1831</v>
      </c>
      <c r="L483" s="3" t="s">
        <v>2490</v>
      </c>
    </row>
    <row r="484" spans="1:12" ht="30" x14ac:dyDescent="0.25">
      <c r="A484" s="2" t="s">
        <v>1082</v>
      </c>
      <c r="B484" t="s">
        <v>994</v>
      </c>
      <c r="C484" t="s">
        <v>1083</v>
      </c>
      <c r="D484" t="str">
        <f>TRIM(Tabulka1[[#This Row],[Jméno]])</f>
        <v>Vaclav</v>
      </c>
      <c r="E484" t="str">
        <f>TRIM(Tabulka1[[#This Row],[Příjmení]])</f>
        <v>Malik</v>
      </c>
      <c r="F484" s="2" t="str">
        <f>MID(Tabulka1[[#This Row],[Adresa]],1,SEARCH(",",Tabulka1[[#This Row],[Adresa]])-1)</f>
        <v>Pardubská 550</v>
      </c>
      <c r="G484" s="2" t="str">
        <f>RIGHT(Tabulka1[[#This Row],[Adresa]],LEN(Tabulka1[[#This Row],[Adresa]])-LEN(Tabulka1[[#This Row],[Ulice]])-1)</f>
        <v>Myslocovice</v>
      </c>
      <c r="H484" s="2" t="str">
        <f>_xlfn.CONCAT(LOWER(Tabulka1[[#This Row],[příjmení bez mezer]]),".",LOWER(Tabulka1[[#This Row],[Jmeno bez mezer]]),"@firmaabc.cz")</f>
        <v>malik.vaclav@firmaabc.cz</v>
      </c>
      <c r="I484" s="2" t="str">
        <f>_xlfn.CONCAT(LOWER(LEFT(Tabulka1[[#This Row],[příjmení bez mezer]],3)),UPPER(RIGHT(Tabulka1[[#This Row],[Jmeno bez mezer]],2)))</f>
        <v>malAV</v>
      </c>
      <c r="J484" s="2" t="s">
        <v>1603</v>
      </c>
      <c r="K484" s="2" t="s">
        <v>1995</v>
      </c>
      <c r="L484" s="3" t="s">
        <v>2491</v>
      </c>
    </row>
    <row r="485" spans="1:12" ht="30" x14ac:dyDescent="0.25">
      <c r="A485" s="2" t="s">
        <v>1084</v>
      </c>
      <c r="B485" t="s">
        <v>101</v>
      </c>
      <c r="C485" t="s">
        <v>1085</v>
      </c>
      <c r="D485" t="str">
        <f>TRIM(Tabulka1[[#This Row],[Jméno]])</f>
        <v>Frantisek</v>
      </c>
      <c r="E485" t="str">
        <f>TRIM(Tabulka1[[#This Row],[Příjmení]])</f>
        <v>Kos</v>
      </c>
      <c r="F485" s="2" t="str">
        <f>MID(Tabulka1[[#This Row],[Adresa]],1,SEARCH(",",Tabulka1[[#This Row],[Adresa]])-1)</f>
        <v>Sokolovská 363</v>
      </c>
      <c r="G485" s="2" t="str">
        <f>RIGHT(Tabulka1[[#This Row],[Adresa]],LEN(Tabulka1[[#This Row],[Adresa]])-LEN(Tabulka1[[#This Row],[Ulice]])-1)</f>
        <v>Bridlicná</v>
      </c>
      <c r="H485" s="2" t="str">
        <f>_xlfn.CONCAT(LOWER(Tabulka1[[#This Row],[příjmení bez mezer]]),".",LOWER(Tabulka1[[#This Row],[Jmeno bez mezer]]),"@firmaabc.cz")</f>
        <v>kos.frantisek@firmaabc.cz</v>
      </c>
      <c r="I485" s="2" t="str">
        <f>_xlfn.CONCAT(LOWER(LEFT(Tabulka1[[#This Row],[příjmení bez mezer]],3)),UPPER(RIGHT(Tabulka1[[#This Row],[Jmeno bez mezer]],2)))</f>
        <v>kosEK</v>
      </c>
      <c r="J485" s="2" t="s">
        <v>1604</v>
      </c>
      <c r="K485" s="2" t="s">
        <v>1996</v>
      </c>
      <c r="L485" s="3" t="s">
        <v>2492</v>
      </c>
    </row>
    <row r="486" spans="1:12" ht="30" x14ac:dyDescent="0.25">
      <c r="A486" s="2" t="s">
        <v>1086</v>
      </c>
      <c r="B486" t="s">
        <v>320</v>
      </c>
      <c r="C486" t="s">
        <v>848</v>
      </c>
      <c r="D486" t="str">
        <f>TRIM(Tabulka1[[#This Row],[Jméno]])</f>
        <v>Helena</v>
      </c>
      <c r="E486" t="str">
        <f>TRIM(Tabulka1[[#This Row],[Příjmení]])</f>
        <v>Svobodova</v>
      </c>
      <c r="F486" s="2" t="str">
        <f>MID(Tabulka1[[#This Row],[Adresa]],1,SEARCH(",",Tabulka1[[#This Row],[Adresa]])-1)</f>
        <v>Pivovarská 1439</v>
      </c>
      <c r="G486" s="2" t="str">
        <f>RIGHT(Tabulka1[[#This Row],[Adresa]],LEN(Tabulka1[[#This Row],[Adresa]])-LEN(Tabulka1[[#This Row],[Ulice]])-1)</f>
        <v>Vráž u Berouna</v>
      </c>
      <c r="H486" s="2" t="str">
        <f>_xlfn.CONCAT(LOWER(Tabulka1[[#This Row],[příjmení bez mezer]]),".",LOWER(Tabulka1[[#This Row],[Jmeno bez mezer]]),"@firmaabc.cz")</f>
        <v>svobodova.helena@firmaabc.cz</v>
      </c>
      <c r="I486" s="2" t="str">
        <f>_xlfn.CONCAT(LOWER(LEFT(Tabulka1[[#This Row],[příjmení bez mezer]],3)),UPPER(RIGHT(Tabulka1[[#This Row],[Jmeno bez mezer]],2)))</f>
        <v>svoNA</v>
      </c>
      <c r="J486" s="2" t="s">
        <v>1605</v>
      </c>
      <c r="K486" s="2" t="s">
        <v>1997</v>
      </c>
      <c r="L486" s="3" t="s">
        <v>2493</v>
      </c>
    </row>
    <row r="487" spans="1:12" ht="30" x14ac:dyDescent="0.25">
      <c r="A487" s="2" t="s">
        <v>1087</v>
      </c>
      <c r="B487" t="s">
        <v>707</v>
      </c>
      <c r="C487" t="s">
        <v>1088</v>
      </c>
      <c r="D487" t="str">
        <f>TRIM(Tabulka1[[#This Row],[Jméno]])</f>
        <v>Bozena</v>
      </c>
      <c r="E487" t="str">
        <f>TRIM(Tabulka1[[#This Row],[Příjmení]])</f>
        <v>Urbankova</v>
      </c>
      <c r="F487" s="2" t="str">
        <f>MID(Tabulka1[[#This Row],[Adresa]],1,SEARCH(",",Tabulka1[[#This Row],[Adresa]])-1)</f>
        <v>Palackého 347</v>
      </c>
      <c r="G487" s="2" t="str">
        <f>RIGHT(Tabulka1[[#This Row],[Adresa]],LEN(Tabulka1[[#This Row],[Adresa]])-LEN(Tabulka1[[#This Row],[Ulice]])-1)</f>
        <v>Morkovice-Slížany</v>
      </c>
      <c r="H487" s="2" t="str">
        <f>_xlfn.CONCAT(LOWER(Tabulka1[[#This Row],[příjmení bez mezer]]),".",LOWER(Tabulka1[[#This Row],[Jmeno bez mezer]]),"@firmaabc.cz")</f>
        <v>urbankova.bozena@firmaabc.cz</v>
      </c>
      <c r="I487" s="2" t="str">
        <f>_xlfn.CONCAT(LOWER(LEFT(Tabulka1[[#This Row],[příjmení bez mezer]],3)),UPPER(RIGHT(Tabulka1[[#This Row],[Jmeno bez mezer]],2)))</f>
        <v>urbNA</v>
      </c>
      <c r="J487" s="2" t="s">
        <v>1606</v>
      </c>
      <c r="K487" s="2" t="s">
        <v>1998</v>
      </c>
      <c r="L487" s="3" t="s">
        <v>2494</v>
      </c>
    </row>
    <row r="488" spans="1:12" ht="60" x14ac:dyDescent="0.25">
      <c r="A488" s="2" t="s">
        <v>1089</v>
      </c>
      <c r="B488" t="s">
        <v>104</v>
      </c>
      <c r="C488" t="s">
        <v>266</v>
      </c>
      <c r="D488" t="str">
        <f>TRIM(Tabulka1[[#This Row],[Jméno]])</f>
        <v>Alena</v>
      </c>
      <c r="E488" t="str">
        <f>TRIM(Tabulka1[[#This Row],[Příjmení]])</f>
        <v>Kockova</v>
      </c>
      <c r="F488" s="2" t="str">
        <f>MID(Tabulka1[[#This Row],[Adresa]],1,SEARCH(",",Tabulka1[[#This Row],[Adresa]])-1)</f>
        <v>Hamerská 1854</v>
      </c>
      <c r="G488" s="2" t="str">
        <f>RIGHT(Tabulka1[[#This Row],[Adresa]],LEN(Tabulka1[[#This Row],[Adresa]])-LEN(Tabulka1[[#This Row],[Ulice]])-1)</f>
        <v>Nová Ves u Chotebore</v>
      </c>
      <c r="H488" s="2" t="str">
        <f>_xlfn.CONCAT(LOWER(Tabulka1[[#This Row],[příjmení bez mezer]]),".",LOWER(Tabulka1[[#This Row],[Jmeno bez mezer]]),"@firmaabc.cz")</f>
        <v>kockova.alena@firmaabc.cz</v>
      </c>
      <c r="I488" s="2" t="str">
        <f>_xlfn.CONCAT(LOWER(LEFT(Tabulka1[[#This Row],[příjmení bez mezer]],3)),UPPER(RIGHT(Tabulka1[[#This Row],[Jmeno bez mezer]],2)))</f>
        <v>kocNA</v>
      </c>
      <c r="J488" s="2" t="s">
        <v>1607</v>
      </c>
      <c r="K488" s="2" t="s">
        <v>1999</v>
      </c>
      <c r="L488" s="3" t="s">
        <v>2495</v>
      </c>
    </row>
    <row r="489" spans="1:12" ht="30" x14ac:dyDescent="0.25">
      <c r="A489" s="2" t="s">
        <v>1090</v>
      </c>
      <c r="B489" t="s">
        <v>287</v>
      </c>
      <c r="C489" t="s">
        <v>1091</v>
      </c>
      <c r="D489" t="str">
        <f>TRIM(Tabulka1[[#This Row],[Jméno]])</f>
        <v>Petr</v>
      </c>
      <c r="E489" t="str">
        <f>TRIM(Tabulka1[[#This Row],[Příjmení]])</f>
        <v>Polacek</v>
      </c>
      <c r="F489" s="2" t="str">
        <f>MID(Tabulka1[[#This Row],[Adresa]],1,SEARCH(",",Tabulka1[[#This Row],[Adresa]])-1)</f>
        <v>Partyzánská 717</v>
      </c>
      <c r="G489" s="2" t="str">
        <f>RIGHT(Tabulka1[[#This Row],[Adresa]],LEN(Tabulka1[[#This Row],[Adresa]])-LEN(Tabulka1[[#This Row],[Ulice]])-1)</f>
        <v>Broumov 1</v>
      </c>
      <c r="H489" s="2" t="str">
        <f>_xlfn.CONCAT(LOWER(Tabulka1[[#This Row],[příjmení bez mezer]]),".",LOWER(Tabulka1[[#This Row],[Jmeno bez mezer]]),"@firmaabc.cz")</f>
        <v>polacek.petr@firmaabc.cz</v>
      </c>
      <c r="I489" s="2" t="str">
        <f>_xlfn.CONCAT(LOWER(LEFT(Tabulka1[[#This Row],[příjmení bez mezer]],3)),UPPER(RIGHT(Tabulka1[[#This Row],[Jmeno bez mezer]],2)))</f>
        <v>polTR</v>
      </c>
      <c r="J489" s="2" t="s">
        <v>1608</v>
      </c>
      <c r="K489" s="2" t="s">
        <v>2000</v>
      </c>
      <c r="L489" s="3" t="s">
        <v>2496</v>
      </c>
    </row>
    <row r="490" spans="1:12" ht="30" x14ac:dyDescent="0.25">
      <c r="A490" s="2" t="s">
        <v>1092</v>
      </c>
      <c r="B490" t="s">
        <v>1093</v>
      </c>
      <c r="C490" t="s">
        <v>1094</v>
      </c>
      <c r="D490" t="str">
        <f>TRIM(Tabulka1[[#This Row],[Jméno]])</f>
        <v>Sona</v>
      </c>
      <c r="E490" t="str">
        <f>TRIM(Tabulka1[[#This Row],[Příjmení]])</f>
        <v>Hurtova</v>
      </c>
      <c r="F490" s="2" t="str">
        <f>MID(Tabulka1[[#This Row],[Adresa]],1,SEARCH(",",Tabulka1[[#This Row],[Adresa]])-1)</f>
        <v>Sluneční 1460</v>
      </c>
      <c r="G490" s="2" t="str">
        <f>RIGHT(Tabulka1[[#This Row],[Adresa]],LEN(Tabulka1[[#This Row],[Adresa]])-LEN(Tabulka1[[#This Row],[Ulice]])-1)</f>
        <v>Mokré Lazce</v>
      </c>
      <c r="H490" s="2" t="str">
        <f>_xlfn.CONCAT(LOWER(Tabulka1[[#This Row],[příjmení bez mezer]]),".",LOWER(Tabulka1[[#This Row],[Jmeno bez mezer]]),"@firmaabc.cz")</f>
        <v>hurtova.sona@firmaabc.cz</v>
      </c>
      <c r="I490" s="2" t="str">
        <f>_xlfn.CONCAT(LOWER(LEFT(Tabulka1[[#This Row],[příjmení bez mezer]],3)),UPPER(RIGHT(Tabulka1[[#This Row],[Jmeno bez mezer]],2)))</f>
        <v>hurNA</v>
      </c>
      <c r="J490" s="2" t="s">
        <v>1609</v>
      </c>
      <c r="K490" s="2" t="s">
        <v>2001</v>
      </c>
      <c r="L490" s="3" t="s">
        <v>2497</v>
      </c>
    </row>
    <row r="491" spans="1:12" ht="30" x14ac:dyDescent="0.25">
      <c r="A491" s="2" t="s">
        <v>1095</v>
      </c>
      <c r="B491" t="s">
        <v>45</v>
      </c>
      <c r="C491" t="s">
        <v>1096</v>
      </c>
      <c r="D491" t="str">
        <f>TRIM(Tabulka1[[#This Row],[Jméno]])</f>
        <v>Tomas</v>
      </c>
      <c r="E491" t="str">
        <f>TRIM(Tabulka1[[#This Row],[Příjmení]])</f>
        <v>Kroutil</v>
      </c>
      <c r="F491" s="2" t="str">
        <f>MID(Tabulka1[[#This Row],[Adresa]],1,SEARCH(",",Tabulka1[[#This Row],[Adresa]])-1)</f>
        <v>Barákova 112</v>
      </c>
      <c r="G491" s="2" t="str">
        <f>RIGHT(Tabulka1[[#This Row],[Adresa]],LEN(Tabulka1[[#This Row],[Adresa]])-LEN(Tabulka1[[#This Row],[Ulice]])-1)</f>
        <v>Mratín</v>
      </c>
      <c r="H491" s="2" t="str">
        <f>_xlfn.CONCAT(LOWER(Tabulka1[[#This Row],[příjmení bez mezer]]),".",LOWER(Tabulka1[[#This Row],[Jmeno bez mezer]]),"@firmaabc.cz")</f>
        <v>kroutil.tomas@firmaabc.cz</v>
      </c>
      <c r="I491" s="2" t="str">
        <f>_xlfn.CONCAT(LOWER(LEFT(Tabulka1[[#This Row],[příjmení bez mezer]],3)),UPPER(RIGHT(Tabulka1[[#This Row],[Jmeno bez mezer]],2)))</f>
        <v>kroAS</v>
      </c>
      <c r="J491" s="2" t="s">
        <v>1610</v>
      </c>
      <c r="K491" s="2" t="s">
        <v>1781</v>
      </c>
      <c r="L491" s="3" t="s">
        <v>2498</v>
      </c>
    </row>
    <row r="492" spans="1:12" ht="45" x14ac:dyDescent="0.25">
      <c r="A492" s="2" t="s">
        <v>1097</v>
      </c>
      <c r="B492" t="s">
        <v>189</v>
      </c>
      <c r="C492" t="s">
        <v>1098</v>
      </c>
      <c r="D492" t="str">
        <f>TRIM(Tabulka1[[#This Row],[Jméno]])</f>
        <v>Jana</v>
      </c>
      <c r="E492" t="str">
        <f>TRIM(Tabulka1[[#This Row],[Příjmení]])</f>
        <v>Balikova</v>
      </c>
      <c r="F492" s="2" t="str">
        <f>MID(Tabulka1[[#This Row],[Adresa]],1,SEARCH(",",Tabulka1[[#This Row],[Adresa]])-1)</f>
        <v>Žerotínova 1324</v>
      </c>
      <c r="G492" s="2" t="str">
        <f>RIGHT(Tabulka1[[#This Row],[Adresa]],LEN(Tabulka1[[#This Row],[Adresa]])-LEN(Tabulka1[[#This Row],[Ulice]])-1)</f>
        <v>Horice v Podkrkonoší</v>
      </c>
      <c r="H492" s="2" t="str">
        <f>_xlfn.CONCAT(LOWER(Tabulka1[[#This Row],[příjmení bez mezer]]),".",LOWER(Tabulka1[[#This Row],[Jmeno bez mezer]]),"@firmaabc.cz")</f>
        <v>balikova.jana@firmaabc.cz</v>
      </c>
      <c r="I492" s="2" t="str">
        <f>_xlfn.CONCAT(LOWER(LEFT(Tabulka1[[#This Row],[příjmení bez mezer]],3)),UPPER(RIGHT(Tabulka1[[#This Row],[Jmeno bez mezer]],2)))</f>
        <v>balNA</v>
      </c>
      <c r="J492" s="2" t="s">
        <v>1611</v>
      </c>
      <c r="K492" s="2" t="s">
        <v>1877</v>
      </c>
      <c r="L492" s="3" t="s">
        <v>2499</v>
      </c>
    </row>
    <row r="493" spans="1:12" ht="30" x14ac:dyDescent="0.25">
      <c r="A493" s="2" t="s">
        <v>1099</v>
      </c>
      <c r="B493" t="s">
        <v>1016</v>
      </c>
      <c r="C493" t="s">
        <v>1100</v>
      </c>
      <c r="D493" t="str">
        <f>TRIM(Tabulka1[[#This Row],[Jméno]])</f>
        <v>Jarmila</v>
      </c>
      <c r="E493" t="str">
        <f>TRIM(Tabulka1[[#This Row],[Příjmení]])</f>
        <v>Blazkova</v>
      </c>
      <c r="F493" s="2" t="str">
        <f>MID(Tabulka1[[#This Row],[Adresa]],1,SEARCH(",",Tabulka1[[#This Row],[Adresa]])-1)</f>
        <v>Vostelčická 1117</v>
      </c>
      <c r="G493" s="2" t="str">
        <f>RIGHT(Tabulka1[[#This Row],[Adresa]],LEN(Tabulka1[[#This Row],[Adresa]])-LEN(Tabulka1[[#This Row],[Ulice]])-1)</f>
        <v>Vysoké Mýto</v>
      </c>
      <c r="H493" s="2" t="str">
        <f>_xlfn.CONCAT(LOWER(Tabulka1[[#This Row],[příjmení bez mezer]]),".",LOWER(Tabulka1[[#This Row],[Jmeno bez mezer]]),"@firmaabc.cz")</f>
        <v>blazkova.jarmila@firmaabc.cz</v>
      </c>
      <c r="I493" s="2" t="str">
        <f>_xlfn.CONCAT(LOWER(LEFT(Tabulka1[[#This Row],[příjmení bez mezer]],3)),UPPER(RIGHT(Tabulka1[[#This Row],[Jmeno bez mezer]],2)))</f>
        <v>blaLA</v>
      </c>
      <c r="J493" s="2" t="s">
        <v>1612</v>
      </c>
      <c r="K493" s="2" t="s">
        <v>1638</v>
      </c>
      <c r="L493" s="3" t="s">
        <v>2500</v>
      </c>
    </row>
    <row r="494" spans="1:12" ht="30" x14ac:dyDescent="0.25">
      <c r="A494" s="2" t="s">
        <v>1101</v>
      </c>
      <c r="B494" t="s">
        <v>70</v>
      </c>
      <c r="C494" t="s">
        <v>1102</v>
      </c>
      <c r="D494" t="str">
        <f>TRIM(Tabulka1[[#This Row],[Jméno]])</f>
        <v>Jakub</v>
      </c>
      <c r="E494" t="str">
        <f>TRIM(Tabulka1[[#This Row],[Příjmení]])</f>
        <v>Slama</v>
      </c>
      <c r="F494" s="2" t="str">
        <f>MID(Tabulka1[[#This Row],[Adresa]],1,SEARCH(",",Tabulka1[[#This Row],[Adresa]])-1)</f>
        <v>Hřbitovní 1799</v>
      </c>
      <c r="G494" s="2" t="str">
        <f>RIGHT(Tabulka1[[#This Row],[Adresa]],LEN(Tabulka1[[#This Row],[Adresa]])-LEN(Tabulka1[[#This Row],[Ulice]])-1)</f>
        <v>Nedašov</v>
      </c>
      <c r="H494" s="2" t="str">
        <f>_xlfn.CONCAT(LOWER(Tabulka1[[#This Row],[příjmení bez mezer]]),".",LOWER(Tabulka1[[#This Row],[Jmeno bez mezer]]),"@firmaabc.cz")</f>
        <v>slama.jakub@firmaabc.cz</v>
      </c>
      <c r="I494" s="2" t="str">
        <f>_xlfn.CONCAT(LOWER(LEFT(Tabulka1[[#This Row],[příjmení bez mezer]],3)),UPPER(RIGHT(Tabulka1[[#This Row],[Jmeno bez mezer]],2)))</f>
        <v>slaUB</v>
      </c>
      <c r="J494" s="2" t="s">
        <v>1613</v>
      </c>
      <c r="K494" s="2" t="s">
        <v>2002</v>
      </c>
      <c r="L494" s="3" t="s">
        <v>2501</v>
      </c>
    </row>
    <row r="495" spans="1:12" ht="45" x14ac:dyDescent="0.25">
      <c r="A495" s="2" t="s">
        <v>1103</v>
      </c>
      <c r="B495" t="s">
        <v>15</v>
      </c>
      <c r="C495" t="s">
        <v>1104</v>
      </c>
      <c r="D495" t="str">
        <f>TRIM(Tabulka1[[#This Row],[Jméno]])</f>
        <v>Vladimir</v>
      </c>
      <c r="E495" t="str">
        <f>TRIM(Tabulka1[[#This Row],[Příjmení]])</f>
        <v>Sommer</v>
      </c>
      <c r="F495" s="2" t="str">
        <f>MID(Tabulka1[[#This Row],[Adresa]],1,SEARCH(",",Tabulka1[[#This Row],[Adresa]])-1)</f>
        <v>Opltova 783</v>
      </c>
      <c r="G495" s="2" t="str">
        <f>RIGHT(Tabulka1[[#This Row],[Adresa]],LEN(Tabulka1[[#This Row],[Adresa]])-LEN(Tabulka1[[#This Row],[Ulice]])-1)</f>
        <v>Stankovice u Žatce</v>
      </c>
      <c r="H495" s="2" t="str">
        <f>_xlfn.CONCAT(LOWER(Tabulka1[[#This Row],[příjmení bez mezer]]),".",LOWER(Tabulka1[[#This Row],[Jmeno bez mezer]]),"@firmaabc.cz")</f>
        <v>sommer.vladimir@firmaabc.cz</v>
      </c>
      <c r="I495" s="2" t="str">
        <f>_xlfn.CONCAT(LOWER(LEFT(Tabulka1[[#This Row],[příjmení bez mezer]],3)),UPPER(RIGHT(Tabulka1[[#This Row],[Jmeno bez mezer]],2)))</f>
        <v>somIR</v>
      </c>
      <c r="J495" s="2" t="s">
        <v>1614</v>
      </c>
      <c r="K495" s="2" t="s">
        <v>2003</v>
      </c>
      <c r="L495" s="3" t="s">
        <v>2502</v>
      </c>
    </row>
    <row r="496" spans="1:12" ht="30" x14ac:dyDescent="0.25">
      <c r="A496" s="2" t="s">
        <v>1105</v>
      </c>
      <c r="B496" t="s">
        <v>303</v>
      </c>
      <c r="C496" t="s">
        <v>1106</v>
      </c>
      <c r="D496" t="str">
        <f>TRIM(Tabulka1[[#This Row],[Jméno]])</f>
        <v>Lenka</v>
      </c>
      <c r="E496" t="str">
        <f>TRIM(Tabulka1[[#This Row],[Příjmení]])</f>
        <v>Jurova</v>
      </c>
      <c r="F496" s="2" t="str">
        <f>MID(Tabulka1[[#This Row],[Adresa]],1,SEARCH(",",Tabulka1[[#This Row],[Adresa]])-1)</f>
        <v>Opltova 1426</v>
      </c>
      <c r="G496" s="2" t="str">
        <f>RIGHT(Tabulka1[[#This Row],[Adresa]],LEN(Tabulka1[[#This Row],[Adresa]])-LEN(Tabulka1[[#This Row],[Ulice]])-1)</f>
        <v>Krásný Dvur</v>
      </c>
      <c r="H496" s="2" t="str">
        <f>_xlfn.CONCAT(LOWER(Tabulka1[[#This Row],[příjmení bez mezer]]),".",LOWER(Tabulka1[[#This Row],[Jmeno bez mezer]]),"@firmaabc.cz")</f>
        <v>jurova.lenka@firmaabc.cz</v>
      </c>
      <c r="I496" s="2" t="str">
        <f>_xlfn.CONCAT(LOWER(LEFT(Tabulka1[[#This Row],[příjmení bez mezer]],3)),UPPER(RIGHT(Tabulka1[[#This Row],[Jmeno bez mezer]],2)))</f>
        <v>jurKA</v>
      </c>
      <c r="J496" s="2" t="s">
        <v>1615</v>
      </c>
      <c r="K496" s="2" t="s">
        <v>2004</v>
      </c>
      <c r="L496" s="3" t="s">
        <v>2503</v>
      </c>
    </row>
    <row r="497" spans="1:12" x14ac:dyDescent="0.25">
      <c r="A497" s="2" t="s">
        <v>1107</v>
      </c>
      <c r="B497" t="s">
        <v>1108</v>
      </c>
      <c r="C497" t="s">
        <v>1049</v>
      </c>
      <c r="D497" t="str">
        <f>TRIM(Tabulka1[[#This Row],[Jméno]])</f>
        <v>Lubomir</v>
      </c>
      <c r="E497" t="str">
        <f>TRIM(Tabulka1[[#This Row],[Příjmení]])</f>
        <v>Peterka</v>
      </c>
      <c r="F497" s="2" t="str">
        <f>MID(Tabulka1[[#This Row],[Adresa]],1,SEARCH(",",Tabulka1[[#This Row],[Adresa]])-1)</f>
        <v>U Trati 1894</v>
      </c>
      <c r="G497" s="2" t="str">
        <f>RIGHT(Tabulka1[[#This Row],[Adresa]],LEN(Tabulka1[[#This Row],[Adresa]])-LEN(Tabulka1[[#This Row],[Ulice]])-1)</f>
        <v>Kralovice</v>
      </c>
      <c r="H497" s="2" t="str">
        <f>_xlfn.CONCAT(LOWER(Tabulka1[[#This Row],[příjmení bez mezer]]),".",LOWER(Tabulka1[[#This Row],[Jmeno bez mezer]]),"@firmaabc.cz")</f>
        <v>peterka.lubomir@firmaabc.cz</v>
      </c>
      <c r="I497" s="2" t="str">
        <f>_xlfn.CONCAT(LOWER(LEFT(Tabulka1[[#This Row],[příjmení bez mezer]],3)),UPPER(RIGHT(Tabulka1[[#This Row],[Jmeno bez mezer]],2)))</f>
        <v>petIR</v>
      </c>
      <c r="J497" s="2" t="s">
        <v>1616</v>
      </c>
      <c r="K497" s="2" t="s">
        <v>2005</v>
      </c>
      <c r="L497" s="3" t="s">
        <v>2504</v>
      </c>
    </row>
    <row r="498" spans="1:12" ht="30" x14ac:dyDescent="0.25">
      <c r="A498" s="2" t="s">
        <v>1109</v>
      </c>
      <c r="B498" t="s">
        <v>76</v>
      </c>
      <c r="C498" t="s">
        <v>1026</v>
      </c>
      <c r="D498" t="str">
        <f>TRIM(Tabulka1[[#This Row],[Jméno]])</f>
        <v>Jitka</v>
      </c>
      <c r="E498" t="str">
        <f>TRIM(Tabulka1[[#This Row],[Příjmení]])</f>
        <v>Lavickova</v>
      </c>
      <c r="F498" s="2" t="str">
        <f>MID(Tabulka1[[#This Row],[Adresa]],1,SEARCH(",",Tabulka1[[#This Row],[Adresa]])-1)</f>
        <v>Budovatelská 1017</v>
      </c>
      <c r="G498" s="2" t="str">
        <f>RIGHT(Tabulka1[[#This Row],[Adresa]],LEN(Tabulka1[[#This Row],[Adresa]])-LEN(Tabulka1[[#This Row],[Ulice]])-1)</f>
        <v>Sedlice u Blatné</v>
      </c>
      <c r="H498" s="2" t="str">
        <f>_xlfn.CONCAT(LOWER(Tabulka1[[#This Row],[příjmení bez mezer]]),".",LOWER(Tabulka1[[#This Row],[Jmeno bez mezer]]),"@firmaabc.cz")</f>
        <v>lavickova.jitka@firmaabc.cz</v>
      </c>
      <c r="I498" s="2" t="str">
        <f>_xlfn.CONCAT(LOWER(LEFT(Tabulka1[[#This Row],[příjmení bez mezer]],3)),UPPER(RIGHT(Tabulka1[[#This Row],[Jmeno bez mezer]],2)))</f>
        <v>lavKA</v>
      </c>
      <c r="J498" s="2" t="s">
        <v>1617</v>
      </c>
      <c r="K498" s="2" t="s">
        <v>2006</v>
      </c>
      <c r="L498" s="3" t="s">
        <v>2505</v>
      </c>
    </row>
    <row r="499" spans="1:12" ht="30" x14ac:dyDescent="0.25">
      <c r="A499" s="2" t="s">
        <v>1110</v>
      </c>
      <c r="B499" t="s">
        <v>178</v>
      </c>
      <c r="C499" t="s">
        <v>1111</v>
      </c>
      <c r="D499" t="str">
        <f>TRIM(Tabulka1[[#This Row],[Jméno]])</f>
        <v>Jaroslav</v>
      </c>
      <c r="E499" t="str">
        <f>TRIM(Tabulka1[[#This Row],[Příjmení]])</f>
        <v>Godla</v>
      </c>
      <c r="F499" s="2" t="str">
        <f>MID(Tabulka1[[#This Row],[Adresa]],1,SEARCH(",",Tabulka1[[#This Row],[Adresa]])-1)</f>
        <v>Školní 285</v>
      </c>
      <c r="G499" s="2" t="str">
        <f>RIGHT(Tabulka1[[#This Row],[Adresa]],LEN(Tabulka1[[#This Row],[Adresa]])-LEN(Tabulka1[[#This Row],[Ulice]])-1)</f>
        <v>Krešín u Pacova</v>
      </c>
      <c r="H499" s="2" t="str">
        <f>_xlfn.CONCAT(LOWER(Tabulka1[[#This Row],[příjmení bez mezer]]),".",LOWER(Tabulka1[[#This Row],[Jmeno bez mezer]]),"@firmaabc.cz")</f>
        <v>godla.jaroslav@firmaabc.cz</v>
      </c>
      <c r="I499" s="2" t="str">
        <f>_xlfn.CONCAT(LOWER(LEFT(Tabulka1[[#This Row],[příjmení bez mezer]],3)),UPPER(RIGHT(Tabulka1[[#This Row],[Jmeno bez mezer]],2)))</f>
        <v>godAV</v>
      </c>
      <c r="J499" s="2" t="s">
        <v>1618</v>
      </c>
      <c r="K499" s="2" t="s">
        <v>2007</v>
      </c>
      <c r="L499" s="3" t="s">
        <v>2506</v>
      </c>
    </row>
    <row r="500" spans="1:12" ht="30" x14ac:dyDescent="0.25">
      <c r="A500" s="2" t="s">
        <v>1112</v>
      </c>
      <c r="B500" t="s">
        <v>76</v>
      </c>
      <c r="C500" t="s">
        <v>1113</v>
      </c>
      <c r="D500" t="str">
        <f>TRIM(Tabulka1[[#This Row],[Jméno]])</f>
        <v>Jitka</v>
      </c>
      <c r="E500" t="str">
        <f>TRIM(Tabulka1[[#This Row],[Příjmení]])</f>
        <v>Odehnalova</v>
      </c>
      <c r="F500" s="2" t="str">
        <f>MID(Tabulka1[[#This Row],[Adresa]],1,SEARCH(",",Tabulka1[[#This Row],[Adresa]])-1)</f>
        <v>Pivovarská 1903</v>
      </c>
      <c r="G500" s="2" t="str">
        <f>RIGHT(Tabulka1[[#This Row],[Adresa]],LEN(Tabulka1[[#This Row],[Adresa]])-LEN(Tabulka1[[#This Row],[Ulice]])-1)</f>
        <v>Karlštejn</v>
      </c>
      <c r="H500" s="2" t="str">
        <f>_xlfn.CONCAT(LOWER(Tabulka1[[#This Row],[příjmení bez mezer]]),".",LOWER(Tabulka1[[#This Row],[Jmeno bez mezer]]),"@firmaabc.cz")</f>
        <v>odehnalova.jitka@firmaabc.cz</v>
      </c>
      <c r="I500" s="2" t="str">
        <f>_xlfn.CONCAT(LOWER(LEFT(Tabulka1[[#This Row],[příjmení bez mezer]],3)),UPPER(RIGHT(Tabulka1[[#This Row],[Jmeno bez mezer]],2)))</f>
        <v>odeKA</v>
      </c>
      <c r="J500" s="2" t="s">
        <v>1619</v>
      </c>
      <c r="K500" s="2" t="s">
        <v>2008</v>
      </c>
      <c r="L500" s="3" t="s">
        <v>2507</v>
      </c>
    </row>
    <row r="501" spans="1:12" ht="30" x14ac:dyDescent="0.25">
      <c r="A501" s="2" t="s">
        <v>1114</v>
      </c>
      <c r="B501" t="s">
        <v>64</v>
      </c>
      <c r="C501" t="s">
        <v>1115</v>
      </c>
      <c r="D501" t="str">
        <f>TRIM(Tabulka1[[#This Row],[Jméno]])</f>
        <v>Karel</v>
      </c>
      <c r="E501" t="str">
        <f>TRIM(Tabulka1[[#This Row],[Příjmení]])</f>
        <v>Cerny</v>
      </c>
      <c r="F501" s="2" t="str">
        <f>MID(Tabulka1[[#This Row],[Adresa]],1,SEARCH(",",Tabulka1[[#This Row],[Adresa]])-1)</f>
        <v>Komenského 1659</v>
      </c>
      <c r="G501" s="2" t="str">
        <f>RIGHT(Tabulka1[[#This Row],[Adresa]],LEN(Tabulka1[[#This Row],[Adresa]])-LEN(Tabulka1[[#This Row],[Ulice]])-1)</f>
        <v>Telc</v>
      </c>
      <c r="H501" s="2" t="str">
        <f>_xlfn.CONCAT(LOWER(Tabulka1[[#This Row],[příjmení bez mezer]]),".",LOWER(Tabulka1[[#This Row],[Jmeno bez mezer]]),"@firmaabc.cz")</f>
        <v>cerny.karel@firmaabc.cz</v>
      </c>
      <c r="I501" s="2" t="str">
        <f>_xlfn.CONCAT(LOWER(LEFT(Tabulka1[[#This Row],[příjmení bez mezer]],3)),UPPER(RIGHT(Tabulka1[[#This Row],[Jmeno bez mezer]],2)))</f>
        <v>cerEL</v>
      </c>
      <c r="J501" s="2" t="s">
        <v>1620</v>
      </c>
      <c r="K501" s="2" t="s">
        <v>1917</v>
      </c>
      <c r="L501" s="3" t="s">
        <v>2508</v>
      </c>
    </row>
    <row r="502" spans="1:12" ht="30" x14ac:dyDescent="0.25">
      <c r="A502" s="2" t="s">
        <v>1116</v>
      </c>
      <c r="B502" t="s">
        <v>437</v>
      </c>
      <c r="C502" t="s">
        <v>1117</v>
      </c>
      <c r="D502" t="str">
        <f>TRIM(Tabulka1[[#This Row],[Jméno]])</f>
        <v>Milena</v>
      </c>
      <c r="E502" t="str">
        <f>TRIM(Tabulka1[[#This Row],[Příjmení]])</f>
        <v>Jordanova</v>
      </c>
      <c r="F502" s="2" t="str">
        <f>MID(Tabulka1[[#This Row],[Adresa]],1,SEARCH(",",Tabulka1[[#This Row],[Adresa]])-1)</f>
        <v>Jiráskova 1762</v>
      </c>
      <c r="G502" s="2" t="str">
        <f>RIGHT(Tabulka1[[#This Row],[Adresa]],LEN(Tabulka1[[#This Row],[Adresa]])-LEN(Tabulka1[[#This Row],[Ulice]])-1)</f>
        <v>Libán</v>
      </c>
      <c r="H502" s="2" t="str">
        <f>_xlfn.CONCAT(LOWER(Tabulka1[[#This Row],[příjmení bez mezer]]),".",LOWER(Tabulka1[[#This Row],[Jmeno bez mezer]]),"@firmaabc.cz")</f>
        <v>jordanova.milena@firmaabc.cz</v>
      </c>
      <c r="I502" s="2" t="str">
        <f>_xlfn.CONCAT(LOWER(LEFT(Tabulka1[[#This Row],[příjmení bez mezer]],3)),UPPER(RIGHT(Tabulka1[[#This Row],[Jmeno bez mezer]],2)))</f>
        <v>jorNA</v>
      </c>
      <c r="J502" s="2" t="s">
        <v>1621</v>
      </c>
      <c r="K502" s="2" t="s">
        <v>2009</v>
      </c>
      <c r="L502" s="3" t="s">
        <v>2509</v>
      </c>
    </row>
    <row r="503" spans="1:12" x14ac:dyDescent="0.25">
      <c r="A503" s="2" t="s">
        <v>1118</v>
      </c>
      <c r="B503" t="s">
        <v>64</v>
      </c>
      <c r="C503" t="s">
        <v>1119</v>
      </c>
      <c r="D503" t="str">
        <f>TRIM(Tabulka1[[#This Row],[Jméno]])</f>
        <v>Karel</v>
      </c>
      <c r="E503" t="str">
        <f>TRIM(Tabulka1[[#This Row],[Příjmení]])</f>
        <v>Kalny</v>
      </c>
      <c r="F503" s="2" t="str">
        <f>MID(Tabulka1[[#This Row],[Adresa]],1,SEARCH(",",Tabulka1[[#This Row],[Adresa]])-1)</f>
        <v>Školní 699</v>
      </c>
      <c r="G503" s="2" t="str">
        <f>RIGHT(Tabulka1[[#This Row],[Adresa]],LEN(Tabulka1[[#This Row],[Adresa]])-LEN(Tabulka1[[#This Row],[Ulice]])-1)</f>
        <v>Klatovy 1</v>
      </c>
      <c r="H503" s="2" t="str">
        <f>_xlfn.CONCAT(LOWER(Tabulka1[[#This Row],[příjmení bez mezer]]),".",LOWER(Tabulka1[[#This Row],[Jmeno bez mezer]]),"@firmaabc.cz")</f>
        <v>kalny.karel@firmaabc.cz</v>
      </c>
      <c r="I503" s="2" t="str">
        <f>_xlfn.CONCAT(LOWER(LEFT(Tabulka1[[#This Row],[příjmení bez mezer]],3)),UPPER(RIGHT(Tabulka1[[#This Row],[Jmeno bez mezer]],2)))</f>
        <v>kalEL</v>
      </c>
      <c r="J503" s="2" t="s">
        <v>1622</v>
      </c>
      <c r="K503" s="2" t="s">
        <v>1941</v>
      </c>
      <c r="L503" s="3" t="s">
        <v>2510</v>
      </c>
    </row>
  </sheetData>
  <phoneticPr fontId="2" type="noConversion"/>
  <hyperlinks>
    <hyperlink ref="L4" r:id="rId1" xr:uid="{95098A27-E8C6-473D-9E29-E173ED9EBC31}"/>
    <hyperlink ref="L5" r:id="rId2" xr:uid="{D3127EA1-EB82-4D62-B5E7-4D3517C5A244}"/>
    <hyperlink ref="L6" r:id="rId3" xr:uid="{E0A5B27C-DD9B-4E4B-BF25-EFA6A8E41021}"/>
    <hyperlink ref="L7" r:id="rId4" xr:uid="{04E055CF-E35A-4F31-881E-1B7325C2F415}"/>
    <hyperlink ref="L8" r:id="rId5" xr:uid="{1C6CD219-4FCA-4076-AACA-C44001FBDE30}"/>
    <hyperlink ref="L9" r:id="rId6" xr:uid="{BCB7D152-AAD8-424D-82B0-0CF2A8D52BE6}"/>
    <hyperlink ref="L10" r:id="rId7" xr:uid="{2805B7A6-5BE8-48F9-9AB0-FCC2B38C594A}"/>
    <hyperlink ref="L11" r:id="rId8" xr:uid="{4AA6ACEF-2625-4952-971F-6D2845C70FAC}"/>
    <hyperlink ref="L12" r:id="rId9" xr:uid="{3174657C-199C-4BF4-BF81-0F6F84ED6EA5}"/>
    <hyperlink ref="L13" r:id="rId10" xr:uid="{D71AF955-E278-40DC-92BD-BE2C0B8C57FB}"/>
    <hyperlink ref="L14" r:id="rId11" xr:uid="{C907531B-5587-407D-A7FA-A8590D49124D}"/>
    <hyperlink ref="L15" r:id="rId12" xr:uid="{1BE30399-A88C-45D6-8CBE-B3775683E10C}"/>
    <hyperlink ref="L16" r:id="rId13" xr:uid="{A941F879-164D-437F-B372-19C239E06D82}"/>
    <hyperlink ref="L17" r:id="rId14" xr:uid="{8F403928-5B5C-441F-87A2-D10769D55DDD}"/>
    <hyperlink ref="L18" r:id="rId15" xr:uid="{DCF30888-6448-45D5-8EBF-3AACAFA0B252}"/>
    <hyperlink ref="L19" r:id="rId16" xr:uid="{2CFB7350-488F-4468-BA52-881EFDAB48DA}"/>
    <hyperlink ref="L20" r:id="rId17" xr:uid="{FF207EEE-CADB-41ED-B801-7D28F3AF14EE}"/>
    <hyperlink ref="L21" r:id="rId18" xr:uid="{7BE77EF4-F0FC-4897-A275-43D4E71E92A4}"/>
    <hyperlink ref="L22" r:id="rId19" xr:uid="{FC317E3A-CE3B-4941-98C5-C3283F99AFBC}"/>
    <hyperlink ref="L23" r:id="rId20" xr:uid="{E9D5B87B-256E-415F-A205-F090623327B1}"/>
    <hyperlink ref="L24" r:id="rId21" xr:uid="{A0154CEA-7863-428C-B6D7-A2A8AF9DD34B}"/>
    <hyperlink ref="L25" r:id="rId22" xr:uid="{6D5648A8-6CEE-48E0-B342-FB44D400519A}"/>
    <hyperlink ref="L26" r:id="rId23" xr:uid="{B6B096D4-E20B-4EB4-A45F-6326918E25E4}"/>
    <hyperlink ref="L27" r:id="rId24" xr:uid="{D0A5A990-C3E6-4A2F-ACA1-8DE7A5FF1B64}"/>
    <hyperlink ref="L28" r:id="rId25" xr:uid="{E96F24DE-CCC8-488F-9122-0E17DC20B403}"/>
    <hyperlink ref="L29" r:id="rId26" xr:uid="{9DDF61BF-A4B3-46D9-BF33-7B71E206D3BE}"/>
    <hyperlink ref="L30" r:id="rId27" xr:uid="{795712E5-5860-4887-83E8-3F9504BD42C9}"/>
    <hyperlink ref="L31" r:id="rId28" xr:uid="{C9F39824-29D9-402A-87F8-922B18554193}"/>
    <hyperlink ref="L32" r:id="rId29" xr:uid="{F366396D-3C2C-448F-8939-8210CA333F98}"/>
    <hyperlink ref="L33" r:id="rId30" xr:uid="{5E3ADBB6-7145-44D2-8FE4-97F527A86AB0}"/>
    <hyperlink ref="L34" r:id="rId31" xr:uid="{0B677187-AC14-42D5-A8E1-A1EEDD1A2D1C}"/>
    <hyperlink ref="L35" r:id="rId32" xr:uid="{73C33B87-32FB-4916-9B5E-3FF66EDFF9B8}"/>
    <hyperlink ref="L36" r:id="rId33" xr:uid="{DF7D0186-96A2-49CD-91F5-957B91615543}"/>
    <hyperlink ref="L37" r:id="rId34" xr:uid="{D6E9C3C6-DC2A-439C-B4A2-9158763A128F}"/>
    <hyperlink ref="L38" r:id="rId35" xr:uid="{6B16C8F7-4323-49D7-A737-A083B5EC7F55}"/>
    <hyperlink ref="L39" r:id="rId36" xr:uid="{11F853E6-5B40-49ED-A6A5-5133AE53BF9A}"/>
    <hyperlink ref="L40" r:id="rId37" xr:uid="{C7E5C3ED-F5B2-4341-9EC7-89B16678233D}"/>
    <hyperlink ref="L41" r:id="rId38" xr:uid="{2152B79B-F961-4576-906C-5C1ECCB33A2D}"/>
    <hyperlink ref="L42" r:id="rId39" xr:uid="{DB5964F8-4FD3-4240-87F9-51325F447160}"/>
    <hyperlink ref="L43" r:id="rId40" xr:uid="{6D50F7EC-8B56-4E7E-A39B-7AF1A1C0E3F7}"/>
    <hyperlink ref="L44" r:id="rId41" xr:uid="{F1D8AC79-79C7-47B1-BA27-678D7EF0815F}"/>
    <hyperlink ref="L45" r:id="rId42" xr:uid="{60D0A096-8DA0-4E3E-8FD3-6F6E52F25C40}"/>
    <hyperlink ref="L46" r:id="rId43" xr:uid="{6F713636-E88A-4227-BC05-22C74A18DA70}"/>
    <hyperlink ref="L47" r:id="rId44" xr:uid="{730157A1-030F-4F16-90E2-B9CAA1DE361D}"/>
    <hyperlink ref="L48" r:id="rId45" xr:uid="{67E6B5F4-5738-485E-94CB-2A9BA7B0BE13}"/>
    <hyperlink ref="L49" r:id="rId46" xr:uid="{99CB1370-B352-426F-A408-9C2759E39FA5}"/>
    <hyperlink ref="L50" r:id="rId47" xr:uid="{9DE3B7F0-0EE7-47FA-B3F3-EA34A608D635}"/>
    <hyperlink ref="L51" r:id="rId48" xr:uid="{20E20AEF-38AF-4FC5-9D12-562FD957716C}"/>
    <hyperlink ref="L52" r:id="rId49" xr:uid="{9D8285D7-6F9D-41DE-AA20-34C84D72E396}"/>
    <hyperlink ref="L53" r:id="rId50" xr:uid="{35721FE4-989E-444A-B132-9708BDB28530}"/>
    <hyperlink ref="L54" r:id="rId51" xr:uid="{8EABCF4B-5CA8-4DA4-97E0-860F25A5854D}"/>
    <hyperlink ref="L55" r:id="rId52" xr:uid="{D216E3B5-719A-459E-8537-0F2110EFFB01}"/>
    <hyperlink ref="L56" r:id="rId53" xr:uid="{CC8F77D9-C96E-4501-8C49-17E44418CEA0}"/>
    <hyperlink ref="L57" r:id="rId54" xr:uid="{A1B15D3D-8025-4B86-87D9-E91853E2EB1E}"/>
    <hyperlink ref="L58" r:id="rId55" xr:uid="{5B8E35B9-0061-4632-9506-816BBEF9343B}"/>
    <hyperlink ref="L59" r:id="rId56" xr:uid="{2612D7B3-3362-4ADC-B1C6-10670D77983D}"/>
    <hyperlink ref="L60" r:id="rId57" xr:uid="{0B0C2D32-9537-466B-9B1F-80EF8CACB46C}"/>
    <hyperlink ref="L61" r:id="rId58" xr:uid="{B246388D-0AA0-441C-A138-723268CE0B46}"/>
    <hyperlink ref="L62" r:id="rId59" xr:uid="{A9A01800-EF3A-444E-81FD-2AD888A1388A}"/>
    <hyperlink ref="L63" r:id="rId60" xr:uid="{D964FA87-355E-4A72-B17B-5875D9DBBEE5}"/>
    <hyperlink ref="L64" r:id="rId61" xr:uid="{9A46191F-BB1B-4291-B5EA-D5C4DF019974}"/>
    <hyperlink ref="L65" r:id="rId62" xr:uid="{701FA909-D29C-4882-A3D2-7D5FEB781917}"/>
    <hyperlink ref="L66" r:id="rId63" xr:uid="{D6D843E9-3DAD-4790-93A1-0DD74275CD64}"/>
    <hyperlink ref="L67" r:id="rId64" xr:uid="{0FCE8801-6118-4B08-8CC2-8605C2DCF4DE}"/>
    <hyperlink ref="L68" r:id="rId65" xr:uid="{BA3E1B69-F4E9-4CF0-8CC8-BD29BF0670E0}"/>
    <hyperlink ref="L69" r:id="rId66" xr:uid="{7E53FBC8-C801-4EB0-9E9D-EC361C2A6380}"/>
    <hyperlink ref="L70" r:id="rId67" xr:uid="{E944D03A-9A0E-4AC1-ADF4-06D000E52F47}"/>
    <hyperlink ref="L71" r:id="rId68" xr:uid="{2E1EDDD4-C24B-4D94-A146-F2A5EBD39886}"/>
    <hyperlink ref="L72" r:id="rId69" xr:uid="{66C79BE8-9905-4E07-90FE-58D3D6403D3C}"/>
    <hyperlink ref="L73" r:id="rId70" xr:uid="{01119779-7BB8-495F-A7C2-9D9D67580ECC}"/>
    <hyperlink ref="L74" r:id="rId71" xr:uid="{93F5F686-7C53-48E3-83DB-B6347C5A63CC}"/>
    <hyperlink ref="L75" r:id="rId72" xr:uid="{802A12B4-E82B-46CD-B548-C41BFED0FFCF}"/>
    <hyperlink ref="L76" r:id="rId73" xr:uid="{60692C72-886E-4DCC-85FA-79E048700AF7}"/>
    <hyperlink ref="L77" r:id="rId74" xr:uid="{2BB3C4EF-E7A7-499B-884F-C221E4C97AE4}"/>
    <hyperlink ref="L78" r:id="rId75" xr:uid="{6EF42182-185B-4665-8926-4C12820140F5}"/>
    <hyperlink ref="L79" r:id="rId76" xr:uid="{BB0C6E27-EA90-44F8-9C74-AB561F8780CF}"/>
    <hyperlink ref="L80" r:id="rId77" xr:uid="{28C7A3BD-BC02-43BF-A7B4-641291CB2A36}"/>
    <hyperlink ref="L81" r:id="rId78" xr:uid="{2BB857EA-FC5B-4D27-8E89-7CEBED32F64F}"/>
    <hyperlink ref="L82" r:id="rId79" xr:uid="{7380BE81-3406-4F28-8AAE-B0159CDE6A5C}"/>
    <hyperlink ref="L83" r:id="rId80" xr:uid="{252A8271-CE56-401E-94CA-AF8E374A351E}"/>
    <hyperlink ref="L84" r:id="rId81" xr:uid="{0F702748-BD60-4F37-A192-0AEDC61DD351}"/>
    <hyperlink ref="L85" r:id="rId82" xr:uid="{EB0B05CF-642B-4EB0-9C1D-30F90B39F1A6}"/>
    <hyperlink ref="L86" r:id="rId83" xr:uid="{73587A37-7295-4E03-87C1-6B08F0E634A0}"/>
    <hyperlink ref="L87" r:id="rId84" xr:uid="{ECFB4D13-9203-4DC2-BC38-AF961BB7B6A5}"/>
    <hyperlink ref="L88" r:id="rId85" xr:uid="{862361F1-FCE6-4B33-BCCC-921B85EF5BC4}"/>
    <hyperlink ref="L89" r:id="rId86" xr:uid="{91D6852F-2BCD-427F-A10F-4A229294C9B8}"/>
    <hyperlink ref="L90" r:id="rId87" xr:uid="{AE7727A7-1E0C-493F-98DA-E316FCB62F23}"/>
    <hyperlink ref="L91" r:id="rId88" xr:uid="{638A4149-BD97-40F0-87FC-35C79B18F78D}"/>
    <hyperlink ref="L92" r:id="rId89" xr:uid="{094970B7-8D6F-4AB7-B32E-ECBAADBDB0BE}"/>
    <hyperlink ref="L93" r:id="rId90" xr:uid="{4C151721-EE14-45D9-9C6A-E6FD38EB5987}"/>
    <hyperlink ref="L94" r:id="rId91" xr:uid="{40F06280-0716-43A2-A774-EC7E670511D4}"/>
    <hyperlink ref="L95" r:id="rId92" xr:uid="{A2955743-1D0E-460E-8F2A-B6FAD6999305}"/>
    <hyperlink ref="L96" r:id="rId93" xr:uid="{5739BC9F-8EF8-4258-AD4E-8EC1884FE0A4}"/>
    <hyperlink ref="L97" r:id="rId94" xr:uid="{CF884E5B-E0D7-4A15-A991-A603192A362A}"/>
    <hyperlink ref="L98" r:id="rId95" xr:uid="{642F2C98-0A40-4EB6-97D3-FAA50C732F47}"/>
    <hyperlink ref="L99" r:id="rId96" xr:uid="{5969F662-A37A-4CC1-91C7-F036179B9C93}"/>
    <hyperlink ref="L100" r:id="rId97" xr:uid="{C52D49C8-DFE1-4530-A5C4-E8E131BC5DDC}"/>
    <hyperlink ref="L101" r:id="rId98" xr:uid="{E84D430A-6135-4468-8962-D6935596DB4A}"/>
    <hyperlink ref="L102" r:id="rId99" xr:uid="{B013E4F0-DC99-4103-9B55-826B9DE07B53}"/>
    <hyperlink ref="L103" r:id="rId100" xr:uid="{7E97030A-95B9-4E89-89C2-C997AF380EBF}"/>
    <hyperlink ref="L104" r:id="rId101" xr:uid="{718D9441-C50F-47F9-BB9B-281655639A41}"/>
    <hyperlink ref="L105" r:id="rId102" xr:uid="{EBEDA10D-2687-4E1A-839E-87275D63473A}"/>
    <hyperlink ref="L106" r:id="rId103" xr:uid="{983777B4-714F-4AD2-8F70-CFA9C6A3551F}"/>
    <hyperlink ref="L107" r:id="rId104" xr:uid="{AC41F4B7-D17A-44FF-A336-550AC55A770E}"/>
    <hyperlink ref="L108" r:id="rId105" xr:uid="{60ED1F21-B467-4549-9074-459FACDB150A}"/>
    <hyperlink ref="L109" r:id="rId106" xr:uid="{C268E4DD-E3B9-4585-9AF3-A4B9A7108DC5}"/>
    <hyperlink ref="L110" r:id="rId107" xr:uid="{D3C90C0C-8073-4EAC-8037-90015B0D0B55}"/>
    <hyperlink ref="L111" r:id="rId108" xr:uid="{8D4305F7-F1BA-4D5B-AD33-71D5AE69BDC1}"/>
    <hyperlink ref="L112" r:id="rId109" xr:uid="{843C7655-49FD-4590-AE5C-9B7CC84C2ED2}"/>
    <hyperlink ref="L113" r:id="rId110" xr:uid="{A06CBC9E-EAF8-4EF3-B840-7D6129832315}"/>
    <hyperlink ref="L114" r:id="rId111" xr:uid="{4E9FE69C-60AC-4C5B-A45F-645DAEB6DC42}"/>
    <hyperlink ref="L115" r:id="rId112" xr:uid="{4F0D814D-66E8-407B-A3F2-5D7CD45559E1}"/>
    <hyperlink ref="L116" r:id="rId113" xr:uid="{A4A08ABC-FE80-496B-A4F8-A593A14292D0}"/>
    <hyperlink ref="L117" r:id="rId114" xr:uid="{AA5A4F1F-A5AE-4516-A939-5FDCD49AF0BA}"/>
    <hyperlink ref="L118" r:id="rId115" xr:uid="{CFBD7E3A-C1A8-42E8-A3A6-35A4264B7AEE}"/>
    <hyperlink ref="L119" r:id="rId116" xr:uid="{250B1FFB-E36D-4D80-BA0D-A136F90EF056}"/>
    <hyperlink ref="L120" r:id="rId117" xr:uid="{C2418A53-8B1E-47EA-A42E-707F20CA7F46}"/>
    <hyperlink ref="L121" r:id="rId118" xr:uid="{D944BF90-0CF1-4014-BEB1-B4B4640ED59E}"/>
    <hyperlink ref="L122" r:id="rId119" xr:uid="{113BFD48-3B3C-4039-8170-8A82060A00A7}"/>
    <hyperlink ref="L123" r:id="rId120" xr:uid="{04777D2C-71E5-4020-A865-03FCF808F2A6}"/>
    <hyperlink ref="L124" r:id="rId121" xr:uid="{AF5B3340-F149-42E5-9B7C-CB12EFB6C53C}"/>
    <hyperlink ref="L125" r:id="rId122" xr:uid="{D80D339F-6E41-4F04-815C-ECDEB96ED632}"/>
    <hyperlink ref="L126" r:id="rId123" xr:uid="{FEE844BE-5A35-4722-9560-8836A3E15CDC}"/>
    <hyperlink ref="L127" r:id="rId124" xr:uid="{6859AEB7-040B-4AD1-BF0F-E5C9A702D7ED}"/>
    <hyperlink ref="L128" r:id="rId125" xr:uid="{C123AD8B-C997-4092-B588-D3AB98834851}"/>
    <hyperlink ref="L129" r:id="rId126" xr:uid="{90E36745-0101-4999-B0D8-1A236087BE4F}"/>
    <hyperlink ref="L130" r:id="rId127" xr:uid="{CDD44628-7E2B-4EE3-9683-FB9F926BD768}"/>
    <hyperlink ref="L131" r:id="rId128" xr:uid="{0684E698-F202-4DE3-91FD-3241E506C86D}"/>
    <hyperlink ref="L132" r:id="rId129" xr:uid="{445DD348-1DF8-44F8-A022-5287D30034E5}"/>
    <hyperlink ref="L133" r:id="rId130" xr:uid="{F6613AD3-2F13-4EFE-8F7B-2A2A23796D91}"/>
    <hyperlink ref="L134" r:id="rId131" xr:uid="{41247E49-39BA-4A71-8C96-A87C4F830432}"/>
    <hyperlink ref="L135" r:id="rId132" xr:uid="{E9881F0A-12E9-484C-B2E5-922F7FD58739}"/>
    <hyperlink ref="L136" r:id="rId133" xr:uid="{3163A5CC-486A-4D69-964F-D78366031BD6}"/>
    <hyperlink ref="L137" r:id="rId134" xr:uid="{179A20BD-CCA1-4DDC-9226-82813A694E29}"/>
    <hyperlink ref="L138" r:id="rId135" xr:uid="{D1D85DD9-F6FE-4384-A21F-22E3BA63B8FA}"/>
    <hyperlink ref="L139" r:id="rId136" xr:uid="{738D2F59-1AC9-4378-B957-7FD04D0ACA72}"/>
    <hyperlink ref="L140" r:id="rId137" xr:uid="{5092A77D-F7C4-46D8-83E7-D3EA9EF06B04}"/>
    <hyperlink ref="L141" r:id="rId138" xr:uid="{587DCC80-4FD2-457C-9168-9CF0309DE533}"/>
    <hyperlink ref="L142" r:id="rId139" xr:uid="{322C1FBE-CFBB-4CBC-AB36-52626550BC92}"/>
    <hyperlink ref="L143" r:id="rId140" xr:uid="{78498F58-71A8-48A2-94BD-D5FD43097016}"/>
    <hyperlink ref="L144" r:id="rId141" xr:uid="{DDF31245-B7CC-4126-9611-8D7F130789F1}"/>
    <hyperlink ref="L145" r:id="rId142" xr:uid="{B2619947-3D47-4480-A078-2C4CF4B29A02}"/>
    <hyperlink ref="L146" r:id="rId143" xr:uid="{1EA61400-DB9A-4083-B32A-B3794F8C37A5}"/>
    <hyperlink ref="L147" r:id="rId144" xr:uid="{D6D848BC-A597-4A24-9FE5-A824C58E8FCD}"/>
    <hyperlink ref="L148" r:id="rId145" xr:uid="{E7574189-B107-43A6-A20C-88983A808AAB}"/>
    <hyperlink ref="L149" r:id="rId146" xr:uid="{7B0523F8-4B95-4170-9D0F-5F1FBB9C36E9}"/>
    <hyperlink ref="L150" r:id="rId147" xr:uid="{3A7DF262-2A71-4768-86CA-C951A5C6A303}"/>
    <hyperlink ref="L151" r:id="rId148" xr:uid="{F2E8B914-2572-4662-871B-5A7EF5734C75}"/>
    <hyperlink ref="L152" r:id="rId149" xr:uid="{7DF826E4-22AC-40F4-B603-3AEB8619979B}"/>
    <hyperlink ref="L153" r:id="rId150" xr:uid="{A88CEF3D-F457-4BD1-9341-7E34D6B485EE}"/>
    <hyperlink ref="L154" r:id="rId151" xr:uid="{B740EB03-1B9C-4938-B879-28CB94844F35}"/>
    <hyperlink ref="L155" r:id="rId152" xr:uid="{8D357108-8E0A-4D8A-A97F-126B9875C285}"/>
    <hyperlink ref="L156" r:id="rId153" xr:uid="{1A3C662E-5A8E-4CE4-AB94-F365DFDFD2C3}"/>
    <hyperlink ref="L157" r:id="rId154" xr:uid="{0E1CAF37-D8F4-472B-A8F5-FC48B452D81C}"/>
    <hyperlink ref="L158" r:id="rId155" xr:uid="{C5791EEF-5E7E-410A-A32E-4C2F963FC4AD}"/>
    <hyperlink ref="L159" r:id="rId156" xr:uid="{6F216974-D7AA-48A7-A421-C99B30FE95F1}"/>
    <hyperlink ref="L160" r:id="rId157" xr:uid="{7A3BC2B7-B956-42BF-9073-51F033C5241A}"/>
    <hyperlink ref="L161" r:id="rId158" xr:uid="{FAEC9BD1-7434-4FE9-A532-396C32F36B66}"/>
    <hyperlink ref="L162" r:id="rId159" xr:uid="{047B2564-6004-44B9-B3C7-2DE12B5EFCB2}"/>
    <hyperlink ref="L163" r:id="rId160" xr:uid="{FC3ACB53-C5E9-4CE5-AD1D-F685E12E0D32}"/>
    <hyperlink ref="L164" r:id="rId161" xr:uid="{0741937D-05C8-4E2B-8573-5200EDA02993}"/>
    <hyperlink ref="L165" r:id="rId162" xr:uid="{5A78BED1-A4DD-41D3-8024-14B556CF0A55}"/>
    <hyperlink ref="L166" r:id="rId163" xr:uid="{55423DEA-F4F5-49B0-96F9-67FC7824DEBB}"/>
    <hyperlink ref="L167" r:id="rId164" xr:uid="{51A2A02F-0935-493D-A672-D814C3FEDCD3}"/>
    <hyperlink ref="L168" r:id="rId165" xr:uid="{FB594B79-FDEC-4209-A6D5-185E1881E594}"/>
    <hyperlink ref="L169" r:id="rId166" xr:uid="{54ED8E73-EF7E-4EB0-80F4-49D6BF123287}"/>
    <hyperlink ref="L170" r:id="rId167" xr:uid="{EBCA02D9-4F70-4C6B-A77A-F6C67DEE96B9}"/>
    <hyperlink ref="L171" r:id="rId168" xr:uid="{06723455-A7E7-4977-AED5-1BE45E089202}"/>
    <hyperlink ref="L172" r:id="rId169" xr:uid="{363AD58C-6D90-40ED-B1F2-59181DC78463}"/>
    <hyperlink ref="L173" r:id="rId170" xr:uid="{3632F7A9-38C1-4070-8440-0F7C7358EF0D}"/>
    <hyperlink ref="L174" r:id="rId171" xr:uid="{D8A740AD-C962-4897-8B60-9771F6C03D9C}"/>
    <hyperlink ref="L175" r:id="rId172" xr:uid="{A578CE1C-360B-4454-87B2-DE4190064E6A}"/>
    <hyperlink ref="L176" r:id="rId173" xr:uid="{39EF6599-B54C-4520-9295-5F1EDF3B8116}"/>
    <hyperlink ref="L177" r:id="rId174" xr:uid="{590B75B9-15C3-47C8-BCC6-87499F34A110}"/>
    <hyperlink ref="L178" r:id="rId175" xr:uid="{5DA6D61C-7334-498E-A80C-BFB6B9217D99}"/>
    <hyperlink ref="L179" r:id="rId176" xr:uid="{FC17121A-49E1-45B9-A70B-07112CD42BD6}"/>
    <hyperlink ref="L180" r:id="rId177" xr:uid="{C201E351-4263-4643-B548-539B7087E931}"/>
    <hyperlink ref="L181" r:id="rId178" xr:uid="{83A31F9D-66AB-4F7D-A265-A04E674326B2}"/>
    <hyperlink ref="L182" r:id="rId179" xr:uid="{CA17D7B2-6AAD-452F-B233-7FC004515988}"/>
    <hyperlink ref="L183" r:id="rId180" xr:uid="{A0BC18F3-4CAB-43EB-81EC-AEB8A595B6B6}"/>
    <hyperlink ref="L184" r:id="rId181" xr:uid="{C7000A8B-CF33-4A84-BC05-80A65491A456}"/>
    <hyperlink ref="L185" r:id="rId182" xr:uid="{7DD459C9-AE01-4482-A6F8-E645B630758B}"/>
    <hyperlink ref="L186" r:id="rId183" xr:uid="{F988DF6F-DA41-4D60-B921-E9B14B113946}"/>
    <hyperlink ref="L187" r:id="rId184" xr:uid="{B2220C35-2B7F-4063-ABAC-33ED22B5C203}"/>
    <hyperlink ref="L188" r:id="rId185" xr:uid="{B772F452-BA24-4005-8D8F-B5E958DC5BCD}"/>
    <hyperlink ref="L189" r:id="rId186" xr:uid="{8C2CE9CE-7F7F-4A01-9C20-F2CFAF865482}"/>
    <hyperlink ref="L190" r:id="rId187" xr:uid="{DC68E39F-1A46-4713-AFD0-EA09E6FA3210}"/>
    <hyperlink ref="L191" r:id="rId188" xr:uid="{054C23B7-F3BA-4498-8938-680186C30C74}"/>
    <hyperlink ref="L192" r:id="rId189" xr:uid="{F5165DB8-7A45-4674-84E2-769C3FDBC8FB}"/>
    <hyperlink ref="L193" r:id="rId190" xr:uid="{71E1A585-4A8C-4A4E-B2A8-A833C283B55E}"/>
    <hyperlink ref="L194" r:id="rId191" xr:uid="{4CFE6BAC-30B2-4289-9A99-64688BF04E2F}"/>
    <hyperlink ref="L195" r:id="rId192" xr:uid="{40A56368-9CD7-4329-B96A-D8B98FED87B7}"/>
    <hyperlink ref="L196" r:id="rId193" xr:uid="{CBBEDA05-E605-4225-8095-79AC91E622D8}"/>
    <hyperlink ref="L197" r:id="rId194" xr:uid="{E5F22C3D-6EB6-4DBC-924B-5F3077C3A57C}"/>
    <hyperlink ref="L198" r:id="rId195" xr:uid="{D1A0965B-FBC5-4740-95F0-A08F2B27B601}"/>
    <hyperlink ref="L199" r:id="rId196" xr:uid="{FC0DA564-2982-479F-A276-5BA7BD6DC627}"/>
    <hyperlink ref="L200" r:id="rId197" xr:uid="{489CA054-FD4E-4876-997E-E35E004A0417}"/>
    <hyperlink ref="L201" r:id="rId198" xr:uid="{0552F63C-D062-45B7-9C9F-5AEF3D061607}"/>
    <hyperlink ref="L202" r:id="rId199" xr:uid="{EC41B2F0-F931-4EE8-BB3C-3605B4002D12}"/>
    <hyperlink ref="L203" r:id="rId200" xr:uid="{2DAE778D-E110-4D4C-88DE-33FE1E8C98F2}"/>
    <hyperlink ref="L204" r:id="rId201" xr:uid="{D8655072-EF60-420B-9CE5-72549C6CEDD9}"/>
    <hyperlink ref="L205" r:id="rId202" xr:uid="{8EADB0F3-55D7-4CC1-A420-46E72DA2E0F5}"/>
    <hyperlink ref="L206" r:id="rId203" xr:uid="{92F6E569-B3EA-4A67-A239-9B605CCD18C9}"/>
    <hyperlink ref="L207" r:id="rId204" xr:uid="{511290F2-AC2D-44FC-95BA-0500CB03E6EB}"/>
    <hyperlink ref="L208" r:id="rId205" xr:uid="{4DF0D200-2339-4CA2-8451-E85CCE92B5E1}"/>
    <hyperlink ref="L209" r:id="rId206" xr:uid="{32A713F5-B200-407E-B1A9-AAFDD955DCD4}"/>
    <hyperlink ref="L210" r:id="rId207" xr:uid="{7AD63978-9FCE-400A-82D5-DFAE4D094A41}"/>
    <hyperlink ref="L211" r:id="rId208" xr:uid="{0FA8C773-2C46-4DA9-9630-330A989A8BF8}"/>
    <hyperlink ref="L212" r:id="rId209" xr:uid="{098FB22E-28E8-4236-BCC3-8EFCD2745216}"/>
    <hyperlink ref="L213" r:id="rId210" xr:uid="{91D77173-071D-4033-88A5-83AB80F88A20}"/>
    <hyperlink ref="L214" r:id="rId211" xr:uid="{9434E9D5-257B-4047-AD86-1B8D95A9B303}"/>
    <hyperlink ref="L215" r:id="rId212" xr:uid="{9779DDED-7FC5-45B8-A49A-7F8AD6740254}"/>
    <hyperlink ref="L216" r:id="rId213" xr:uid="{F2AEBA0B-DDE8-4584-9419-F53C097382E4}"/>
    <hyperlink ref="L217" r:id="rId214" xr:uid="{733F164B-DEB5-4FBC-B027-83939E9DE0AB}"/>
    <hyperlink ref="L218" r:id="rId215" xr:uid="{F5619C5C-59DF-4BC1-B3E4-9C108C15E363}"/>
    <hyperlink ref="L219" r:id="rId216" xr:uid="{5B686C82-5340-416E-8FE6-6BEFF196C11C}"/>
    <hyperlink ref="L220" r:id="rId217" xr:uid="{C5722E89-6694-4242-9AB3-2E0994F96979}"/>
    <hyperlink ref="L221" r:id="rId218" xr:uid="{9425CA77-4318-491E-AD4A-D0A8BAAA3E6F}"/>
    <hyperlink ref="L222" r:id="rId219" xr:uid="{F01BCFC2-6140-4DD8-8363-70DF912D5726}"/>
    <hyperlink ref="L223" r:id="rId220" xr:uid="{E67BD54D-3DF5-4AE8-A63D-274CAD797BD1}"/>
    <hyperlink ref="L224" r:id="rId221" xr:uid="{6C8EF9CF-837C-4A80-A1B4-05666206D4A7}"/>
    <hyperlink ref="L225" r:id="rId222" xr:uid="{A2492223-7462-4080-A595-4B7DE5824519}"/>
    <hyperlink ref="L226" r:id="rId223" xr:uid="{29047967-BE0A-497B-B373-57CE4957D5CD}"/>
    <hyperlink ref="L227" r:id="rId224" xr:uid="{E2FDA601-FE96-4192-B02F-DCEC9ECA4D6A}"/>
    <hyperlink ref="L228" r:id="rId225" xr:uid="{64132F49-7E93-4973-B109-5D0BC18D9E6B}"/>
    <hyperlink ref="L229" r:id="rId226" xr:uid="{EDA635E5-FCB1-461F-A1E0-3AE7FE53CA77}"/>
    <hyperlink ref="L230" r:id="rId227" xr:uid="{5DD41B7F-CCE4-4203-9DE3-0B3700C065F1}"/>
    <hyperlink ref="L231" r:id="rId228" xr:uid="{85E3AA13-9A4B-4E60-BCBD-52E7750F8784}"/>
    <hyperlink ref="L232" r:id="rId229" xr:uid="{79524789-DE67-4D9E-8161-5748911B5DAC}"/>
    <hyperlink ref="L233" r:id="rId230" xr:uid="{6EB8553E-DFCA-4B92-ADA1-76B3621636FA}"/>
    <hyperlink ref="L234" r:id="rId231" xr:uid="{D81EFCF5-847E-45A5-A5C7-B94548C6ED1C}"/>
    <hyperlink ref="L235" r:id="rId232" xr:uid="{BAD9D849-FAFF-4341-B822-22FC76001A32}"/>
    <hyperlink ref="L236" r:id="rId233" xr:uid="{C5DB9138-74ED-4DB2-9A8B-92FBC427F7B3}"/>
    <hyperlink ref="L237" r:id="rId234" xr:uid="{C9E5264C-F116-4C7A-80C6-F044622F65E8}"/>
    <hyperlink ref="L238" r:id="rId235" xr:uid="{024A17B3-DC2E-4F90-9E75-465354ED92D7}"/>
    <hyperlink ref="L239" r:id="rId236" xr:uid="{6CF60426-8B84-4B9A-BF84-BE7305881B10}"/>
    <hyperlink ref="L240" r:id="rId237" xr:uid="{81F25E10-0C84-42F8-9DEF-76DB50A23073}"/>
    <hyperlink ref="L241" r:id="rId238" xr:uid="{8F250222-39C9-426D-8FB3-0E88DB50E6A5}"/>
    <hyperlink ref="L242" r:id="rId239" xr:uid="{1CA37989-781D-44D6-999F-34554F747579}"/>
    <hyperlink ref="L243" r:id="rId240" xr:uid="{C58B9A50-6EA3-45C0-9D34-453A6ED690DA}"/>
    <hyperlink ref="L244" r:id="rId241" xr:uid="{7874C9A2-317B-449D-8998-F7739772CE6B}"/>
    <hyperlink ref="L245" r:id="rId242" xr:uid="{CFF7596C-33AC-40DD-8C9A-C6FED6C9BB8E}"/>
    <hyperlink ref="L246" r:id="rId243" xr:uid="{A0940DB2-8FA5-45A3-AEDF-28E67C40FF0C}"/>
    <hyperlink ref="L247" r:id="rId244" xr:uid="{8FB8CDC0-965D-4A42-A585-3E6599E74BF2}"/>
    <hyperlink ref="L248" r:id="rId245" xr:uid="{72742A81-C94C-430C-A621-C463C89F8F80}"/>
    <hyperlink ref="L249" r:id="rId246" xr:uid="{4C3C6034-AC20-4A00-A777-ADE3572A8CA8}"/>
    <hyperlink ref="L250" r:id="rId247" xr:uid="{15C2C002-2689-4A00-9846-2BAD5EDE7E91}"/>
    <hyperlink ref="L251" r:id="rId248" xr:uid="{64EEE69E-9E94-4A34-B515-05C591628838}"/>
    <hyperlink ref="L252" r:id="rId249" xr:uid="{85C19310-ECD0-485F-8414-BBEE9CB55CE1}"/>
    <hyperlink ref="L253" r:id="rId250" xr:uid="{B8608D43-148B-4F1A-9872-83C7335D36D7}"/>
    <hyperlink ref="L254" r:id="rId251" xr:uid="{DC651BD6-4C97-460D-AAE9-AE501C0064DF}"/>
    <hyperlink ref="L255" r:id="rId252" xr:uid="{0F27E6C3-D980-4EAA-8BB8-2363579D1478}"/>
    <hyperlink ref="L256" r:id="rId253" xr:uid="{5A8FDC5B-AEF5-4689-A8BD-9A6EBC217085}"/>
    <hyperlink ref="L257" r:id="rId254" xr:uid="{B94FB82E-6A68-45CB-ABDC-1C14ABEF298B}"/>
    <hyperlink ref="L258" r:id="rId255" xr:uid="{EADCFCD6-8E71-4DE3-B567-632FA44FA1FB}"/>
    <hyperlink ref="L259" r:id="rId256" xr:uid="{9150EC8D-0651-46D9-A38B-A73ECD6D47F4}"/>
    <hyperlink ref="L260" r:id="rId257" xr:uid="{86EE1057-5AC8-4D6E-9E6B-517BF3550CA6}"/>
    <hyperlink ref="L261" r:id="rId258" xr:uid="{1B007906-6012-4F34-A6A3-3572B8BA19BC}"/>
    <hyperlink ref="L262" r:id="rId259" xr:uid="{911D38C8-E301-4A4C-825D-DBD2CF34C9FD}"/>
    <hyperlink ref="L263" r:id="rId260" xr:uid="{88952BF1-ADC1-449D-A8C1-4A52CCB5DDE5}"/>
    <hyperlink ref="L264" r:id="rId261" xr:uid="{1E057418-8684-4A7D-83FD-42B5A52C8B6F}"/>
    <hyperlink ref="L265" r:id="rId262" xr:uid="{22328A6D-D0CC-4242-A94C-E607F2EA1B5C}"/>
    <hyperlink ref="L266" r:id="rId263" xr:uid="{B9786E69-E920-4BC8-9F39-129BCF9E954A}"/>
    <hyperlink ref="L267" r:id="rId264" xr:uid="{F77B0F65-505E-4E54-BF43-BFD5C177F891}"/>
    <hyperlink ref="L268" r:id="rId265" xr:uid="{6CFE547A-B64D-4890-B757-A80FF29108CD}"/>
    <hyperlink ref="L269" r:id="rId266" xr:uid="{CB6F275A-F392-48BA-A961-9957E65535BC}"/>
    <hyperlink ref="L270" r:id="rId267" xr:uid="{A38B623C-6514-4776-BFD0-E772DEB8F6C4}"/>
    <hyperlink ref="L271" r:id="rId268" xr:uid="{711D474F-7AEE-4EB0-BDD5-1F1883D40846}"/>
    <hyperlink ref="L272" r:id="rId269" xr:uid="{EF4B8570-19E8-4F92-99D7-58FB8F109B21}"/>
    <hyperlink ref="L273" r:id="rId270" xr:uid="{725D44DF-C4D7-48B2-A97C-44FD3368394F}"/>
    <hyperlink ref="L274" r:id="rId271" xr:uid="{948B30E8-BFD0-49A7-BE75-1B9220EC02B3}"/>
    <hyperlink ref="L275" r:id="rId272" xr:uid="{7A865494-7DF1-4408-8D1D-1DE76E97C645}"/>
    <hyperlink ref="L276" r:id="rId273" xr:uid="{5DC63B2B-F308-49BC-8C01-E8567710298F}"/>
    <hyperlink ref="L277" r:id="rId274" xr:uid="{74D24A5B-5A09-400A-AD38-B81D23501FCB}"/>
    <hyperlink ref="L278" r:id="rId275" xr:uid="{4446E1C6-719C-4B88-8025-690823FD5818}"/>
    <hyperlink ref="L279" r:id="rId276" xr:uid="{7FF71470-C696-4A43-AC02-09990FB9CAC0}"/>
    <hyperlink ref="L280" r:id="rId277" xr:uid="{E5F33FD1-8DAF-4F05-860E-7C9552E81F3D}"/>
    <hyperlink ref="L281" r:id="rId278" xr:uid="{63E0AC50-1F53-47E1-AA23-A099EF68D20B}"/>
    <hyperlink ref="L282" r:id="rId279" xr:uid="{23F9E65F-86C6-4FAF-ACF1-DAF5CA74A6CA}"/>
    <hyperlink ref="L283" r:id="rId280" xr:uid="{AA32103B-16B1-4DA0-8D14-C1100FA7F583}"/>
    <hyperlink ref="L284" r:id="rId281" xr:uid="{ECEE6B62-ACC5-417B-89C4-3EEDDD0470A0}"/>
    <hyperlink ref="L285" r:id="rId282" xr:uid="{EE3397D3-E210-4187-BB56-65CEC6BA9D53}"/>
    <hyperlink ref="L286" r:id="rId283" xr:uid="{BDC9F34D-E7A2-4E8B-9EC0-E8DE133C9FF6}"/>
    <hyperlink ref="L287" r:id="rId284" xr:uid="{B346D1D1-5CF6-43E6-82E5-1343ABA6FC79}"/>
    <hyperlink ref="L288" r:id="rId285" xr:uid="{4B1A5F48-3E03-465C-AB9C-AABC0C68D80C}"/>
    <hyperlink ref="L289" r:id="rId286" xr:uid="{1AD6D4BE-BF06-446F-917F-CC3516FEB7FD}"/>
    <hyperlink ref="L290" r:id="rId287" xr:uid="{EAD4012F-FEB0-4BC0-BD3D-B1A1AAE22B5C}"/>
    <hyperlink ref="L291" r:id="rId288" xr:uid="{0B296129-49E7-41B7-BD2C-5EB4D2081BF8}"/>
    <hyperlink ref="L292" r:id="rId289" xr:uid="{E928AD6C-059C-44D0-8BF7-554F2047FF43}"/>
    <hyperlink ref="L293" r:id="rId290" xr:uid="{33C4FD7A-59DB-4DF2-872C-1EA4F88B936C}"/>
    <hyperlink ref="L294" r:id="rId291" xr:uid="{F4664471-7E7D-455F-AAB9-FE58B439E26A}"/>
    <hyperlink ref="L295" r:id="rId292" xr:uid="{CE745D6A-824A-47A7-BAC4-80A6557EFE75}"/>
    <hyperlink ref="L296" r:id="rId293" xr:uid="{AE500638-70BC-4314-9C74-F25867EE3710}"/>
    <hyperlink ref="L297" r:id="rId294" xr:uid="{84529F8C-C07F-441C-BBC2-CE285F885484}"/>
    <hyperlink ref="L298" r:id="rId295" xr:uid="{B34ABEBD-A075-4B75-9F62-EBE1F02115C1}"/>
    <hyperlink ref="L299" r:id="rId296" xr:uid="{339CD90E-9890-4399-838F-ED2931825F4C}"/>
    <hyperlink ref="L300" r:id="rId297" xr:uid="{EAFED415-9803-44D2-B661-7F72DDF77995}"/>
    <hyperlink ref="L301" r:id="rId298" xr:uid="{F70A241D-F57C-4BAF-AA4B-94284B6F2EC5}"/>
    <hyperlink ref="L302" r:id="rId299" xr:uid="{897CE50F-C3B0-4360-8F40-D02585945491}"/>
    <hyperlink ref="L303" r:id="rId300" xr:uid="{268D4CDC-318E-4CA7-ACE4-7E83BAA326CF}"/>
    <hyperlink ref="L304" r:id="rId301" xr:uid="{E49D953F-D7BF-4E81-B173-0CF84B391D61}"/>
    <hyperlink ref="L305" r:id="rId302" xr:uid="{192D1499-B641-4FCE-87AB-DAA6A5D588C1}"/>
    <hyperlink ref="L306" r:id="rId303" xr:uid="{A9335BE8-D0AC-4B46-B299-98E701EFF070}"/>
    <hyperlink ref="L307" r:id="rId304" xr:uid="{750D945B-7D67-45C5-A894-67B0B0DE7300}"/>
    <hyperlink ref="L308" r:id="rId305" xr:uid="{D1189523-68C1-400D-9B56-926915DDEB79}"/>
    <hyperlink ref="L309" r:id="rId306" xr:uid="{B0F1E205-D518-4CC3-908B-82756D16BD07}"/>
    <hyperlink ref="L310" r:id="rId307" xr:uid="{5BC06004-B452-422A-91E7-48E9378AD976}"/>
    <hyperlink ref="L311" r:id="rId308" xr:uid="{5A793B13-2940-4DC7-8B41-D3A8A0B7F42C}"/>
    <hyperlink ref="L312" r:id="rId309" xr:uid="{E3B3C435-BC5E-4B3B-931C-1F2165D72B29}"/>
    <hyperlink ref="L313" r:id="rId310" xr:uid="{5C998D03-C0C7-4FCA-9F93-64E0C54540D5}"/>
    <hyperlink ref="L314" r:id="rId311" xr:uid="{0C86A81F-1016-4262-9698-DAF7EE867B72}"/>
    <hyperlink ref="L315" r:id="rId312" xr:uid="{68DEBE98-5D15-4E95-9B1A-FFBA94B196BE}"/>
    <hyperlink ref="L316" r:id="rId313" xr:uid="{4CA9BDA8-DD44-42B2-9094-E74A6FB7EA4A}"/>
    <hyperlink ref="L317" r:id="rId314" xr:uid="{551718EA-C1D1-4319-A590-A9F2ACB58F59}"/>
    <hyperlink ref="L318" r:id="rId315" xr:uid="{2008CCA4-71D8-4ED2-A2EF-3257F9417D9A}"/>
    <hyperlink ref="L319" r:id="rId316" xr:uid="{AC105B8D-5932-4100-8B37-77CE9F7F1ECE}"/>
    <hyperlink ref="L320" r:id="rId317" xr:uid="{D929B098-7D55-481D-9966-ED89DD5F05B9}"/>
    <hyperlink ref="L321" r:id="rId318" xr:uid="{25029826-F3D9-4FB5-A9ED-E1307E23E17B}"/>
    <hyperlink ref="L322" r:id="rId319" xr:uid="{2A7F455A-5A2E-47AC-B4B3-26B6AD0FD5EE}"/>
    <hyperlink ref="L323" r:id="rId320" xr:uid="{12A8EDCC-B02C-4CC6-A18A-D1F094926F78}"/>
    <hyperlink ref="L324" r:id="rId321" xr:uid="{EF98E9B8-2F70-46A7-BD63-5B70FB2EB058}"/>
    <hyperlink ref="L325" r:id="rId322" xr:uid="{3988BA1F-B756-4C72-9B7B-E68CBB27599F}"/>
    <hyperlink ref="L326" r:id="rId323" xr:uid="{C0EA2FF1-4DBE-4849-BC47-326B3BA5AD5D}"/>
    <hyperlink ref="L327" r:id="rId324" xr:uid="{60FEA2E2-79BC-4B66-8108-A630C10B963E}"/>
    <hyperlink ref="L328" r:id="rId325" xr:uid="{FE748E1D-623D-46BF-9706-3F432470A293}"/>
    <hyperlink ref="L329" r:id="rId326" xr:uid="{B7DF4DD7-9332-4ABF-93F3-47D5E0AB455B}"/>
    <hyperlink ref="L330" r:id="rId327" xr:uid="{EA76F339-11F7-4010-AC37-AA8D475C96B6}"/>
    <hyperlink ref="L331" r:id="rId328" xr:uid="{2828940D-CCE6-4421-A817-806BCEBC36CE}"/>
    <hyperlink ref="L332" r:id="rId329" xr:uid="{AA1705EC-5DD3-467B-89A1-432A9EA67F5E}"/>
    <hyperlink ref="L333" r:id="rId330" xr:uid="{F439BD01-38DF-461A-8E1B-7738469338BD}"/>
    <hyperlink ref="L334" r:id="rId331" xr:uid="{6A1387D4-63DF-4C7E-8240-721B394EF866}"/>
    <hyperlink ref="L335" r:id="rId332" xr:uid="{49151459-F305-4CC1-9312-669C310D7D77}"/>
    <hyperlink ref="L336" r:id="rId333" xr:uid="{368A051C-951D-4D97-9B93-082914AD5A9C}"/>
    <hyperlink ref="L337" r:id="rId334" xr:uid="{6D793EBD-9DEF-4AB1-AC83-0CE4D02AEF57}"/>
    <hyperlink ref="L338" r:id="rId335" xr:uid="{5612F47A-1723-40BB-91AE-84D56136F27E}"/>
    <hyperlink ref="L339" r:id="rId336" xr:uid="{F11A9232-3FA4-473C-BA89-218F1CD82D88}"/>
    <hyperlink ref="L340" r:id="rId337" xr:uid="{BB72294D-302A-43A4-9EEF-35A60BEF870C}"/>
    <hyperlink ref="L341" r:id="rId338" xr:uid="{EA86717C-FBB3-4E87-B1B5-F0CA910FDECE}"/>
    <hyperlink ref="L342" r:id="rId339" xr:uid="{13F1364B-BE4D-4105-9ECD-2671159F757C}"/>
    <hyperlink ref="L343" r:id="rId340" xr:uid="{9D76A980-0934-49AA-883C-078EC7CE33F5}"/>
    <hyperlink ref="L344" r:id="rId341" xr:uid="{4C062697-6C17-45AF-8603-5B55E0EC090E}"/>
    <hyperlink ref="L345" r:id="rId342" xr:uid="{9356D0DA-FED0-485F-9B9B-0E0B1CB43D29}"/>
    <hyperlink ref="L346" r:id="rId343" xr:uid="{A561EC34-C052-4CC3-BCEC-65BD933E2EC3}"/>
    <hyperlink ref="L347" r:id="rId344" xr:uid="{514E1B83-6D7E-4DD1-8747-0F2719D83FDD}"/>
    <hyperlink ref="L348" r:id="rId345" xr:uid="{355350D9-462B-4085-92B7-ADA908CA9A76}"/>
    <hyperlink ref="L349" r:id="rId346" xr:uid="{24AD4839-A587-487E-874D-3AADA7EF7A05}"/>
    <hyperlink ref="L350" r:id="rId347" xr:uid="{AE1AD682-FFA5-4756-B0C7-BFD60C29E04A}"/>
    <hyperlink ref="L351" r:id="rId348" xr:uid="{857816D3-84ED-40DC-85F6-235958561F81}"/>
    <hyperlink ref="L352" r:id="rId349" xr:uid="{DAE29D5A-2C03-4096-BDD0-2A0B99F78731}"/>
    <hyperlink ref="L353" r:id="rId350" xr:uid="{AEA489E6-6B79-471D-976F-B13845A9A71C}"/>
    <hyperlink ref="L354" r:id="rId351" xr:uid="{C57D481B-5DA2-4F76-A507-C64ABDD3CDB0}"/>
    <hyperlink ref="L355" r:id="rId352" xr:uid="{FAAF14BE-0269-4E6B-85E5-6DAA1171904D}"/>
    <hyperlink ref="L356" r:id="rId353" xr:uid="{4ABAC4EA-06C5-48C0-AFAF-A4D590088961}"/>
    <hyperlink ref="L357" r:id="rId354" xr:uid="{62694442-E3CB-4E75-8C22-EFFA3A172F38}"/>
    <hyperlink ref="L358" r:id="rId355" xr:uid="{F8EA6363-1891-4FAD-9092-C85B0F5D9F4C}"/>
    <hyperlink ref="L359" r:id="rId356" xr:uid="{1060D172-E0FC-4C10-9D85-160608E05DDA}"/>
    <hyperlink ref="L360" r:id="rId357" xr:uid="{E946357A-376C-47B7-9411-9CC0407AA8E4}"/>
    <hyperlink ref="L361" r:id="rId358" xr:uid="{7B586FF5-7B25-4C92-BB9E-FE444E40FA43}"/>
    <hyperlink ref="L362" r:id="rId359" xr:uid="{473CDD02-0A6C-4449-B819-4A6B27F09BF8}"/>
    <hyperlink ref="L363" r:id="rId360" xr:uid="{4D933EA8-B537-47A7-B194-B91BA1E5A3AB}"/>
    <hyperlink ref="L364" r:id="rId361" xr:uid="{05B5D0C9-B96C-4507-8ADB-F24195C75602}"/>
    <hyperlink ref="L365" r:id="rId362" xr:uid="{D455A537-2C71-4527-AA38-BC7DA9B7B3D4}"/>
    <hyperlink ref="L366" r:id="rId363" xr:uid="{FA220A36-6E9C-4ED8-9424-F0D5715FB4D2}"/>
    <hyperlink ref="L367" r:id="rId364" xr:uid="{EF4BB982-A217-4916-80E8-BAFC26D16FDE}"/>
    <hyperlink ref="L368" r:id="rId365" xr:uid="{28EB762D-F7E8-4314-A6C8-78CD88B66369}"/>
    <hyperlink ref="L369" r:id="rId366" xr:uid="{AFE7BC13-FE4E-4E99-B771-96CDB6F819D1}"/>
    <hyperlink ref="L370" r:id="rId367" xr:uid="{854F42A7-F556-47F4-AFAA-C9BBEB19EE50}"/>
    <hyperlink ref="L371" r:id="rId368" xr:uid="{31148067-BB6A-49B5-9689-57DF6308A3AF}"/>
    <hyperlink ref="L372" r:id="rId369" xr:uid="{1E4DB057-F2A5-4017-AA35-D187A6365FBA}"/>
    <hyperlink ref="L373" r:id="rId370" xr:uid="{2EEEE31F-91BC-4090-952C-CADE7E57C36C}"/>
    <hyperlink ref="L374" r:id="rId371" xr:uid="{049B05AE-7C91-4B40-85BC-BE374F22CE32}"/>
    <hyperlink ref="L375" r:id="rId372" xr:uid="{D31408AA-1B12-4FAB-9BCA-A45361BF77F7}"/>
    <hyperlink ref="L376" r:id="rId373" xr:uid="{CB6BBF18-66E3-41F8-9A2D-493C44C94E1D}"/>
    <hyperlink ref="L377" r:id="rId374" xr:uid="{117DD0D5-22E4-41EE-9727-65A7B690E989}"/>
    <hyperlink ref="L378" r:id="rId375" xr:uid="{5CF66B5B-F554-4006-B658-EF6B51EA8DFC}"/>
    <hyperlink ref="L379" r:id="rId376" xr:uid="{7A469DD9-75FA-4AF3-B8CA-DC2D2CD472C9}"/>
    <hyperlink ref="L380" r:id="rId377" xr:uid="{50C9BCDD-AEB2-4C52-802A-12BD90091970}"/>
    <hyperlink ref="L381" r:id="rId378" xr:uid="{61789395-1F0A-44AD-976D-B2D96A28EAD4}"/>
    <hyperlink ref="L382" r:id="rId379" xr:uid="{C472AE92-3EA0-4E39-A718-241BC008B003}"/>
    <hyperlink ref="L383" r:id="rId380" xr:uid="{C0038B67-F5F2-4CD7-96D3-605FBD3C3C2D}"/>
    <hyperlink ref="L384" r:id="rId381" xr:uid="{484F0A96-D475-4958-8347-A7A9B794AE96}"/>
    <hyperlink ref="L385" r:id="rId382" xr:uid="{EE1E5CAD-D2BC-4DE1-ADC7-038EC9A62C0A}"/>
    <hyperlink ref="L386" r:id="rId383" xr:uid="{701033C1-C596-48DD-84EE-9FE5B567C3AE}"/>
    <hyperlink ref="L387" r:id="rId384" xr:uid="{8BD47DC3-9D94-40DC-BE32-BB6A64A3678B}"/>
    <hyperlink ref="L388" r:id="rId385" xr:uid="{074CC3CD-D431-4FDE-9237-55B822AA4E02}"/>
    <hyperlink ref="L389" r:id="rId386" xr:uid="{1844543B-F236-46F0-9AFE-0A9E776FF37D}"/>
    <hyperlink ref="L390" r:id="rId387" xr:uid="{C159E883-A694-4075-B3AB-E38A3C23F0FF}"/>
    <hyperlink ref="L391" r:id="rId388" xr:uid="{62BB7392-7B0B-4745-B91C-BAF7CC8FF839}"/>
    <hyperlink ref="L392" r:id="rId389" xr:uid="{9A8323C6-F1AE-407F-A7DC-509D447DA190}"/>
    <hyperlink ref="L393" r:id="rId390" xr:uid="{6569E65D-18FA-466A-9ABF-3DDC79FE932D}"/>
    <hyperlink ref="L394" r:id="rId391" xr:uid="{95EC3CAF-90A5-4286-9BA9-84B06E8E86D2}"/>
    <hyperlink ref="L395" r:id="rId392" xr:uid="{991EE131-C102-4228-B9E5-AC35FB4071A3}"/>
    <hyperlink ref="L396" r:id="rId393" xr:uid="{C1AFBA99-0E5E-41D9-B0CB-6EE00B4DBCBB}"/>
    <hyperlink ref="L397" r:id="rId394" xr:uid="{C1A3D865-5516-4E34-9E0F-3698735CE7C9}"/>
    <hyperlink ref="L398" r:id="rId395" xr:uid="{E9D8C736-E695-4962-B6F1-D8BFAFE5B066}"/>
    <hyperlink ref="L399" r:id="rId396" xr:uid="{E2B0E2EE-C7BB-493F-970A-10DC01F3DA29}"/>
    <hyperlink ref="L400" r:id="rId397" xr:uid="{586D3959-54FC-40AD-B1DA-8C02EEA665C6}"/>
    <hyperlink ref="L401" r:id="rId398" xr:uid="{E8794C3D-D73F-4EC9-9C55-5EA38069C40D}"/>
    <hyperlink ref="L402" r:id="rId399" xr:uid="{65F65985-E2E5-4211-A84D-04C774CD4148}"/>
    <hyperlink ref="L403" r:id="rId400" xr:uid="{315CE99D-9056-4F7E-B344-D3C515756083}"/>
    <hyperlink ref="L404" r:id="rId401" xr:uid="{B89A2B5F-69BC-4F18-BE1E-7CFEF57BEF4F}"/>
    <hyperlink ref="L405" r:id="rId402" xr:uid="{0954514A-D815-487B-A4D4-6CB44DF8C7C7}"/>
    <hyperlink ref="L406" r:id="rId403" xr:uid="{5608629F-07E2-478A-A88B-F4D911876EF5}"/>
    <hyperlink ref="L407" r:id="rId404" xr:uid="{39149AE1-C059-47E5-AD66-24FC385F2F4B}"/>
    <hyperlink ref="L408" r:id="rId405" xr:uid="{47D011CA-2E41-48FD-A937-A333A282578C}"/>
    <hyperlink ref="L409" r:id="rId406" xr:uid="{3B8E7C70-E588-4BE0-86CE-7AFFD0E8C99B}"/>
    <hyperlink ref="L410" r:id="rId407" xr:uid="{FDFEE634-81F2-42E1-9B02-890633B0DC18}"/>
    <hyperlink ref="L411" r:id="rId408" xr:uid="{0E323479-671D-4E2D-B9ED-A2DA42643A05}"/>
    <hyperlink ref="L412" r:id="rId409" xr:uid="{D7700C3E-D5CB-4B0A-9E85-F24470490EE8}"/>
    <hyperlink ref="L413" r:id="rId410" xr:uid="{9EBD2DBB-539A-443A-BCDA-681ADA7A9968}"/>
    <hyperlink ref="L414" r:id="rId411" xr:uid="{747D7541-6DE5-49CE-8451-15D418BA6FA5}"/>
    <hyperlink ref="L415" r:id="rId412" xr:uid="{4733C4F9-4142-4E93-B899-CC04125A1DA9}"/>
    <hyperlink ref="L416" r:id="rId413" xr:uid="{73948A38-E6E0-4F6B-B23B-7B963B8E46E4}"/>
    <hyperlink ref="L417" r:id="rId414" xr:uid="{A6B81324-9AC2-491A-B860-FE25BC8C3B3D}"/>
    <hyperlink ref="L418" r:id="rId415" xr:uid="{E6766BFB-50EE-4E85-8587-2C42D4C0E4F5}"/>
    <hyperlink ref="L419" r:id="rId416" xr:uid="{503A73D3-CE0E-4E63-873B-A539F31E2D32}"/>
    <hyperlink ref="L420" r:id="rId417" xr:uid="{A5809A55-5AE3-46C6-AFB1-8598A24CD43B}"/>
    <hyperlink ref="L421" r:id="rId418" xr:uid="{A2CA65F4-72AF-46A6-81DC-125141D00060}"/>
    <hyperlink ref="L422" r:id="rId419" xr:uid="{C4FEE2EB-A75B-4722-BBE9-7D80CA7E5180}"/>
    <hyperlink ref="L423" r:id="rId420" xr:uid="{76329702-5426-4290-ABEF-775F5CEA5F33}"/>
    <hyperlink ref="L424" r:id="rId421" xr:uid="{C129BC3D-8992-4FFB-9785-5F90A758100E}"/>
    <hyperlink ref="L425" r:id="rId422" xr:uid="{29B1B692-558D-4334-8828-808951547638}"/>
    <hyperlink ref="L426" r:id="rId423" xr:uid="{DCEACDDE-AD5D-42A1-A83C-01AEE1CBC622}"/>
    <hyperlink ref="L427" r:id="rId424" xr:uid="{351F77BF-EA31-4129-9605-B97892A13172}"/>
    <hyperlink ref="L428" r:id="rId425" xr:uid="{96C21E97-49ED-4773-8E0E-0990B9A0E31A}"/>
    <hyperlink ref="L429" r:id="rId426" xr:uid="{E97792B3-8706-48C0-96FF-078AC5FCA4DD}"/>
    <hyperlink ref="L430" r:id="rId427" xr:uid="{0563C03E-89BC-4FD2-AD32-873F30872A64}"/>
    <hyperlink ref="L431" r:id="rId428" xr:uid="{F0D002E9-3621-4DCF-BD3D-C93EE4DF7DCF}"/>
    <hyperlink ref="L432" r:id="rId429" xr:uid="{16969D7D-3035-43D8-9B51-1B7CD186323D}"/>
    <hyperlink ref="L433" r:id="rId430" xr:uid="{2BE2C9E7-3A8F-44D5-A1D8-2C44B22C0DB1}"/>
    <hyperlink ref="L434" r:id="rId431" xr:uid="{7ED495B3-0CC0-4B2F-89E5-41DCCE0617BC}"/>
    <hyperlink ref="L435" r:id="rId432" xr:uid="{4562F55C-7A0A-4DE2-BF59-DB19131369B7}"/>
    <hyperlink ref="L436" r:id="rId433" xr:uid="{88E36CFB-9E62-4790-8A1A-A2B742DE66DC}"/>
    <hyperlink ref="L437" r:id="rId434" xr:uid="{CB9E4FEC-6303-4722-AAE1-0A174D9327B1}"/>
    <hyperlink ref="L438" r:id="rId435" xr:uid="{6057997B-6B41-4521-892A-75931AD3BCF1}"/>
    <hyperlink ref="L439" r:id="rId436" xr:uid="{42C43EC3-8617-4DB8-BA1B-5276BAE8A11F}"/>
    <hyperlink ref="L440" r:id="rId437" xr:uid="{5041A3FA-3556-44AF-954A-F7EE5CE60487}"/>
    <hyperlink ref="L441" r:id="rId438" xr:uid="{52458CE9-BBB9-4DC5-93E2-C2A6DBBB553F}"/>
    <hyperlink ref="L442" r:id="rId439" xr:uid="{CBE53B74-30C0-40B4-B630-097CCB0DC2D3}"/>
    <hyperlink ref="L443" r:id="rId440" xr:uid="{71B0104C-13EA-4535-B85D-2389E4E6E41C}"/>
    <hyperlink ref="L444" r:id="rId441" xr:uid="{23D24594-59BD-4B6D-B460-3D05491FAD47}"/>
    <hyperlink ref="L445" r:id="rId442" xr:uid="{AF91AB0F-6492-4102-B1A3-75CD74F216E6}"/>
    <hyperlink ref="L446" r:id="rId443" xr:uid="{0D066F35-849E-46FA-B245-243F7CC49E6E}"/>
    <hyperlink ref="L447" r:id="rId444" xr:uid="{ED3191EB-94A8-4885-925D-C50282C9DB5E}"/>
    <hyperlink ref="L448" r:id="rId445" xr:uid="{72F77B02-9CB0-4402-A037-0D8068D04B2D}"/>
    <hyperlink ref="L449" r:id="rId446" xr:uid="{8E789321-D6FD-4E6D-BBBF-82CF0B993F88}"/>
    <hyperlink ref="L450" r:id="rId447" xr:uid="{0052B581-932D-4399-B73D-8902E8825F0A}"/>
    <hyperlink ref="L451" r:id="rId448" xr:uid="{AA3FB29F-6857-4319-AEDC-E6EBB81BEB4C}"/>
    <hyperlink ref="L452" r:id="rId449" xr:uid="{5AD1405F-10EC-491E-9B08-E8020D99E3DB}"/>
    <hyperlink ref="L453" r:id="rId450" xr:uid="{DE0054C8-7D4C-4CC5-9EEE-66E25A08884E}"/>
    <hyperlink ref="L454" r:id="rId451" xr:uid="{32E21818-FFC9-48D1-9CCD-CD9CB788533E}"/>
    <hyperlink ref="L455" r:id="rId452" xr:uid="{5E4822BC-43CD-4EE0-8A4E-778BA2FDF5F7}"/>
    <hyperlink ref="L456" r:id="rId453" xr:uid="{7E34FD1A-8C6B-48AF-9219-845BA83BFCB3}"/>
    <hyperlink ref="L457" r:id="rId454" xr:uid="{9DF1B931-0531-4A7E-8388-0F2A14D84D0E}"/>
    <hyperlink ref="L458" r:id="rId455" xr:uid="{5C676991-52E6-4C46-9FA0-035456DF477D}"/>
    <hyperlink ref="L459" r:id="rId456" xr:uid="{209E54EC-9FED-4EEE-A98D-18D2B34AC2E1}"/>
    <hyperlink ref="L460" r:id="rId457" xr:uid="{8BB34738-5823-4B03-9623-8C3BD6CE6C85}"/>
    <hyperlink ref="L461" r:id="rId458" xr:uid="{90E79738-CF2D-451F-8107-DEFC8BB245B4}"/>
    <hyperlink ref="L462" r:id="rId459" xr:uid="{E9F0C7E3-1BBA-4DB6-954F-B01D902621C7}"/>
    <hyperlink ref="L463" r:id="rId460" xr:uid="{C14CD457-BC0D-48D5-AAEE-B49F5F72FCC3}"/>
    <hyperlink ref="L464" r:id="rId461" xr:uid="{8FB64048-9C9E-4E6B-BD71-DCAB4C8B2D38}"/>
    <hyperlink ref="L465" r:id="rId462" xr:uid="{D00DBAEC-F508-4801-9976-74389F522949}"/>
    <hyperlink ref="L466" r:id="rId463" xr:uid="{20DB07D6-040C-467F-8324-4ACAA47B247C}"/>
    <hyperlink ref="L467" r:id="rId464" xr:uid="{F9026698-31BD-4875-B52C-2F201E5CBABD}"/>
    <hyperlink ref="L468" r:id="rId465" xr:uid="{76E39040-EDF3-41C1-846E-EA5772EA5F9F}"/>
    <hyperlink ref="L469" r:id="rId466" xr:uid="{098E8D87-B2E1-4296-B4AB-111426545905}"/>
    <hyperlink ref="L470" r:id="rId467" xr:uid="{A1F72F1F-7CCA-4A13-B475-8E2AAD513132}"/>
    <hyperlink ref="L471" r:id="rId468" xr:uid="{F023061A-EDD8-4248-ABBD-BB9A0D5A8949}"/>
    <hyperlink ref="L472" r:id="rId469" xr:uid="{F21895DB-FF1B-48E4-96B4-3CD7EB0F372A}"/>
    <hyperlink ref="L473" r:id="rId470" xr:uid="{F15A1202-25FC-415E-AAF5-176DFA5421DB}"/>
    <hyperlink ref="L474" r:id="rId471" xr:uid="{44C68F4D-0919-4FB1-997D-C6657462E569}"/>
    <hyperlink ref="L475" r:id="rId472" xr:uid="{AAAE2575-64C1-4D2D-9660-55C1CC9D34C0}"/>
    <hyperlink ref="L476" r:id="rId473" xr:uid="{012E47D4-9C04-429E-86CB-4D49A57F3B8F}"/>
    <hyperlink ref="L477" r:id="rId474" xr:uid="{ECE70D72-632E-4E76-99AA-E0C9FB18B1D1}"/>
    <hyperlink ref="L478" r:id="rId475" xr:uid="{79FABF8A-FFE0-4B47-9525-7C05BB7BBEED}"/>
    <hyperlink ref="L479" r:id="rId476" xr:uid="{D574BB85-97D5-4107-B54D-5F764E5936A3}"/>
    <hyperlink ref="L480" r:id="rId477" xr:uid="{8329369C-4BB3-4130-B0BA-E2F01F3CFDCF}"/>
    <hyperlink ref="L481" r:id="rId478" xr:uid="{CB351059-5C5F-451B-87B1-26A5C282F5C6}"/>
    <hyperlink ref="L482" r:id="rId479" xr:uid="{23361603-B1C3-4411-969D-7CA40334EE1F}"/>
    <hyperlink ref="L483" r:id="rId480" xr:uid="{355F368F-A379-4121-A180-68C985F6C055}"/>
    <hyperlink ref="L484" r:id="rId481" xr:uid="{C102BCA5-1E88-4431-BB8B-19090965360A}"/>
    <hyperlink ref="L485" r:id="rId482" xr:uid="{E8DE71EA-17CC-488B-BCFF-95FED0666E3A}"/>
    <hyperlink ref="L486" r:id="rId483" xr:uid="{04C9B691-4D67-4AE0-9A84-72C87B8B4679}"/>
    <hyperlink ref="L487" r:id="rId484" xr:uid="{1D47ACD0-218A-40A6-B683-8FCE1CBB6464}"/>
    <hyperlink ref="L488" r:id="rId485" xr:uid="{F56B31FB-190D-464A-A206-0C93E3E7DE00}"/>
    <hyperlink ref="L489" r:id="rId486" xr:uid="{6DED7FF1-3BCC-4DB8-A4C0-CAD831408A6B}"/>
    <hyperlink ref="L490" r:id="rId487" xr:uid="{060C35DE-F2C8-4B28-A8D3-7C15E92D09F7}"/>
    <hyperlink ref="L491" r:id="rId488" xr:uid="{058E0337-FE1C-4209-A15F-F51073A42C46}"/>
    <hyperlink ref="L492" r:id="rId489" xr:uid="{F28FA8DD-B197-4A91-A954-C530FBAA78B7}"/>
    <hyperlink ref="L493" r:id="rId490" xr:uid="{84AB233A-7E2A-4EA1-839F-F8F30750E55F}"/>
    <hyperlink ref="L494" r:id="rId491" xr:uid="{39514CCA-BC39-42F1-AC19-5A06039BB210}"/>
    <hyperlink ref="L495" r:id="rId492" xr:uid="{402D1AD6-76F8-4B02-9FBE-29B13E527E73}"/>
    <hyperlink ref="L496" r:id="rId493" xr:uid="{D9A4EA65-B210-4C77-B524-9521D656511F}"/>
    <hyperlink ref="L497" r:id="rId494" xr:uid="{D78C1426-B3F7-4EE9-BA49-76135C5AE5EE}"/>
    <hyperlink ref="L498" r:id="rId495" xr:uid="{2989E247-2D1D-4780-8944-07F6A3A6361E}"/>
    <hyperlink ref="L499" r:id="rId496" xr:uid="{0BED5BA9-343E-47F1-99F3-B82A16B17CB9}"/>
    <hyperlink ref="L500" r:id="rId497" xr:uid="{FEEC427F-8F69-46FB-AE7C-7BED05DF4102}"/>
    <hyperlink ref="L501" r:id="rId498" xr:uid="{4397D3EE-C725-46FD-8DF2-4EA83F805C54}"/>
    <hyperlink ref="L502" r:id="rId499" xr:uid="{2719AF06-F65E-4837-9D5A-EC64D85A6A17}"/>
    <hyperlink ref="L503" r:id="rId500" xr:uid="{2E738B04-CC70-40A5-ADF6-A4DEBC887C87}"/>
  </hyperlinks>
  <pageMargins left="0.7" right="0.7" top="0.75" bottom="0.75" header="0.3" footer="0.3"/>
  <pageSetup paperSize="9" orientation="portrait" r:id="rId501"/>
  <tableParts count="1">
    <tablePart r:id="rId50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7C35A8-B0A3-48A2-8D2D-9FDF202BEAB2}">
  <ds:schemaRefs>
    <ds:schemaRef ds:uri="http://purl.org/dc/terms/"/>
    <ds:schemaRef ds:uri="http://schemas.microsoft.com/office/2006/metadata/properties"/>
    <ds:schemaRef ds:uri="8716bbdc-2b9e-4b6c-9f5d-91220b825f80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5f220dc0-27a6-4f79-8ef7-91d1414d0c8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22A664C-B4B8-48EC-B605-4414A8EFE8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4EA0C9-610B-4C85-8546-0E8E43FE0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Uživatelé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2023-03-23T08:29:07Z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