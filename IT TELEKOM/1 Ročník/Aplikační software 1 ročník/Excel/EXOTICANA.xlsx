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škola/aplikační software (AS)/práce v hodině/"/>
    </mc:Choice>
  </mc:AlternateContent>
  <xr:revisionPtr revIDLastSave="0" documentId="8_{756479EA-810B-4A61-8FB8-CD2FCD44B31B}" xr6:coauthVersionLast="47" xr6:coauthVersionMax="47" xr10:uidLastSave="{00000000-0000-0000-0000-000000000000}"/>
  <bookViews>
    <workbookView xWindow="1515" yWindow="-120" windowWidth="27405" windowHeight="16440" xr2:uid="{72483B78-5EE6-40A9-86AB-D5BCC9F4D71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B10" i="1" s="1"/>
  <c r="E10" i="1" s="1"/>
  <c r="F10" i="1" s="1"/>
  <c r="B7" i="1"/>
  <c r="E7" i="1" s="1"/>
  <c r="F7" i="1" s="1"/>
  <c r="B8" i="1"/>
  <c r="E8" i="1" s="1"/>
  <c r="F8" i="1" s="1"/>
  <c r="B9" i="1"/>
  <c r="E9" i="1" s="1"/>
  <c r="F9" i="1" s="1"/>
  <c r="B6" i="1"/>
  <c r="E6" i="1" s="1"/>
  <c r="F6" i="1" s="1"/>
</calcChain>
</file>

<file path=xl/sharedStrings.xml><?xml version="1.0" encoding="utf-8"?>
<sst xmlns="http://schemas.openxmlformats.org/spreadsheetml/2006/main" count="11" uniqueCount="11">
  <si>
    <t>vyjádřeno v tis. Kč</t>
  </si>
  <si>
    <t>zisk</t>
  </si>
  <si>
    <t>celkové tržby</t>
  </si>
  <si>
    <t>celkové výdaje</t>
  </si>
  <si>
    <t>podíl z celkového zisku v %</t>
  </si>
  <si>
    <t>plánovaný podíl na zisk</t>
  </si>
  <si>
    <t>EVROPA</t>
  </si>
  <si>
    <t>ASIE</t>
  </si>
  <si>
    <t>AMERIKA</t>
  </si>
  <si>
    <t>AFRIKA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</si>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</sst>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9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ální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Podíl</a:t>
            </a:r>
            <a:r>
              <a:rPr lang="cs-CZ" b="1" baseline="0"/>
              <a:t> jednotlivých destinací na zisku CK EXOTICANA v roce 2010</a:t>
            </a:r>
            <a:endParaRPr lang="cs-C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76-460E-BD1D-95B8DC7182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76-460E-BD1D-95B8DC71826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27-493E-8E95-7EC154BBC0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76-460E-BD1D-95B8DC71826E}"/>
              </c:ext>
            </c:extLst>
          </c:dPt>
          <c:cat>
            <c:strRef>
              <c:f>List1!$A$6:$A$9</c:f>
              <c:strCache>
                <c:ptCount val="4"/>
                <c:pt idx="0">
                  <c:v>EVROPA</c:v>
                </c:pt>
                <c:pt idx="1">
                  <c:v>ASIE</c:v>
                </c:pt>
                <c:pt idx="2">
                  <c:v>AMERIKA</c:v>
                </c:pt>
                <c:pt idx="3">
                  <c:v>AFRIKA</c:v>
                </c:pt>
              </c:strCache>
            </c:strRef>
          </c:cat>
          <c:val>
            <c:numRef>
              <c:f>List1!$E$6:$E$9</c:f>
              <c:numCache>
                <c:formatCode>0.0%</c:formatCode>
                <c:ptCount val="4"/>
                <c:pt idx="0">
                  <c:v>0.21804511278195488</c:v>
                </c:pt>
                <c:pt idx="1">
                  <c:v>0.3</c:v>
                </c:pt>
                <c:pt idx="2">
                  <c:v>0.41379310344827586</c:v>
                </c:pt>
                <c:pt idx="3">
                  <c:v>0.40243902439024393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7-493E-8E95-7EC154BBC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54367</xdr:colOff>
      <xdr:row>0</xdr:row>
      <xdr:rowOff>26486</xdr:rowOff>
    </xdr:from>
    <xdr:ext cx="2993633" cy="468013"/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7CDEEC7F-5000-95FA-99AC-8C57F6B2BAC0}"/>
            </a:ext>
          </a:extLst>
        </xdr:cNvPr>
        <xdr:cNvSpPr/>
      </xdr:nvSpPr>
      <xdr:spPr>
        <a:xfrm>
          <a:off x="759217" y="26486"/>
          <a:ext cx="2993633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cs-CZ" sz="2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CK EXOTICANA</a:t>
          </a:r>
        </a:p>
      </xdr:txBody>
    </xdr:sp>
    <xdr:clientData/>
  </xdr:oneCellAnchor>
  <xdr:twoCellAnchor editAs="oneCell">
    <xdr:from>
      <xdr:col>0</xdr:col>
      <xdr:colOff>38100</xdr:colOff>
      <xdr:row>4</xdr:row>
      <xdr:rowOff>85726</xdr:rowOff>
    </xdr:from>
    <xdr:to>
      <xdr:col>0</xdr:col>
      <xdr:colOff>561975</xdr:colOff>
      <xdr:row>4</xdr:row>
      <xdr:rowOff>609601</xdr:rowOff>
    </xdr:to>
    <xdr:pic>
      <xdr:nvPicPr>
        <xdr:cNvPr id="3" name="Obrázek 2" descr="Samolepka letadlo 023 levá Jumbo Jet - AUTOSAMOLEPKY.cz - samolepky na auto  - tuning samolepky - nálepka">
          <a:extLst>
            <a:ext uri="{FF2B5EF4-FFF2-40B4-BE49-F238E27FC236}">
              <a16:creationId xmlns:a16="http://schemas.microsoft.com/office/drawing/2014/main" id="{860870D3-F686-A635-A954-C824C77E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8100" y="857251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523875</xdr:colOff>
      <xdr:row>4</xdr:row>
      <xdr:rowOff>9525</xdr:rowOff>
    </xdr:from>
    <xdr:to>
      <xdr:col>15</xdr:col>
      <xdr:colOff>219075</xdr:colOff>
      <xdr:row>15</xdr:row>
      <xdr:rowOff>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D6CE9A93-074C-9BDC-0C26-B76069B8C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A7A-AF5C-47DD-BA07-D0478B87EDE9}">
  <dimension ref="A3:G10"/>
  <sheetViews>
    <sheetView tabSelected="1" workbookViewId="0">
      <selection activeCell="F10" sqref="A4:F10"/>
    </sheetView>
  </sheetViews>
  <sheetFormatPr defaultRowHeight="15" x14ac:dyDescent="0.25"/>
  <cols>
    <col min="1" max="1" width="10.5703125" bestFit="1" customWidth="1"/>
    <col min="2" max="5" width="10.140625" customWidth="1"/>
    <col min="6" max="6" width="11.42578125" bestFit="1" customWidth="1"/>
  </cols>
  <sheetData>
    <row r="3" spans="1:7" ht="15.75" thickBot="1" x14ac:dyDescent="0.3"/>
    <row r="4" spans="1:7" ht="15.75" x14ac:dyDescent="0.25">
      <c r="B4" s="20" t="s">
        <v>0</v>
      </c>
      <c r="C4" s="21"/>
      <c r="D4" s="21"/>
      <c r="E4" s="21"/>
      <c r="F4" s="22"/>
    </row>
    <row r="5" spans="1:7" ht="62.25" customHeight="1" thickBot="1" x14ac:dyDescent="0.3">
      <c r="B5" s="2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1"/>
    </row>
    <row r="6" spans="1:7" ht="15.75" x14ac:dyDescent="0.25">
      <c r="A6" s="17" t="s">
        <v>6</v>
      </c>
      <c r="B6" s="5">
        <f>C6-D6</f>
        <v>87</v>
      </c>
      <c r="C6" s="6">
        <v>399</v>
      </c>
      <c r="D6" s="6">
        <v>312</v>
      </c>
      <c r="E6" s="7">
        <f>B6/C6</f>
        <v>0.21804511278195488</v>
      </c>
      <c r="F6" s="8" t="str">
        <f>IF(E6&lt;=25%,"nesplněno","splněno")</f>
        <v>nesplněno</v>
      </c>
    </row>
    <row r="7" spans="1:7" ht="15.75" x14ac:dyDescent="0.25">
      <c r="A7" s="18" t="s">
        <v>7</v>
      </c>
      <c r="B7" s="9">
        <f t="shared" ref="B7:B10" si="0">C7-D7</f>
        <v>48</v>
      </c>
      <c r="C7" s="10">
        <v>160</v>
      </c>
      <c r="D7" s="10">
        <v>112</v>
      </c>
      <c r="E7" s="11">
        <f t="shared" ref="E7:E10" si="1">B7/C7</f>
        <v>0.3</v>
      </c>
      <c r="F7" s="12" t="str">
        <f>IF(E7&lt;=25%,"nesplněno","splněno")</f>
        <v>splněno</v>
      </c>
    </row>
    <row r="8" spans="1:7" ht="15.75" x14ac:dyDescent="0.25">
      <c r="A8" s="18" t="s">
        <v>8</v>
      </c>
      <c r="B8" s="9">
        <f t="shared" si="0"/>
        <v>36</v>
      </c>
      <c r="C8" s="10">
        <v>87</v>
      </c>
      <c r="D8" s="10">
        <v>51</v>
      </c>
      <c r="E8" s="11">
        <f t="shared" si="1"/>
        <v>0.41379310344827586</v>
      </c>
      <c r="F8" s="12" t="str">
        <f t="shared" ref="F8:F10" si="2">IF(E8&lt;=25%,"nesplněno","splněno")</f>
        <v>splněno</v>
      </c>
    </row>
    <row r="9" spans="1:7" ht="15.75" x14ac:dyDescent="0.25">
      <c r="A9" s="18" t="s">
        <v>9</v>
      </c>
      <c r="B9" s="9">
        <f t="shared" si="0"/>
        <v>33</v>
      </c>
      <c r="C9" s="10">
        <v>82</v>
      </c>
      <c r="D9" s="10">
        <v>49</v>
      </c>
      <c r="E9" s="11">
        <f t="shared" si="1"/>
        <v>0.40243902439024393</v>
      </c>
      <c r="F9" s="12" t="str">
        <f t="shared" si="2"/>
        <v>splněno</v>
      </c>
    </row>
    <row r="10" spans="1:7" ht="16.5" thickBot="1" x14ac:dyDescent="0.3">
      <c r="A10" s="19" t="s">
        <v>10</v>
      </c>
      <c r="B10" s="13">
        <f t="shared" si="0"/>
        <v>204</v>
      </c>
      <c r="C10" s="14">
        <f>SUM(C6:C9)</f>
        <v>728</v>
      </c>
      <c r="D10" s="14">
        <f>SUM(D6:D9)</f>
        <v>524</v>
      </c>
      <c r="E10" s="15">
        <f t="shared" si="1"/>
        <v>0.28021978021978022</v>
      </c>
      <c r="F10" s="16" t="str">
        <f t="shared" si="2"/>
        <v>splněno</v>
      </c>
    </row>
  </sheetData>
  <mergeCells count="1">
    <mergeCell ref="B4:F4"/>
  </mergeCells>
  <conditionalFormatting sqref="F6">
    <cfRule type="cellIs" dxfId="0" priority="1" operator="equal">
      <formula>"nesplněno"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A30D3-83D1-46EB-9A35-C9A0161C2C6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8716bbdc-2b9e-4b6c-9f5d-91220b825f80"/>
    <ds:schemaRef ds:uri="http://schemas.microsoft.com/office/infopath/2007/PartnerControls"/>
    <ds:schemaRef ds:uri="5f220dc0-27a6-4f79-8ef7-91d1414d0c8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2EA15D-5D4C-4D2B-890D-A17C22B673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BB1622-CA8A-418B-8D84-2A2BCFEBB4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ŠTÍPA</dc:creator>
  <cp:lastModifiedBy>Alex ŠTÍPA</cp:lastModifiedBy>
  <dcterms:created xsi:type="dcterms:W3CDTF">2023-04-25T07:22:17Z</dcterms:created>
  <dcterms:modified xsi:type="dcterms:W3CDTF">2023-04-26T06:20:44Z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