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informatika-my.sharepoint.com/personal/alex_stipa_teleinformatika_eu/Documents/škola/aplikační software (AS)/práce v hodině/"/>
    </mc:Choice>
  </mc:AlternateContent>
  <xr:revisionPtr revIDLastSave="552" documentId="8_{6F226AD3-8E43-46E6-AA42-DE17875C5733}" xr6:coauthVersionLast="47" xr6:coauthVersionMax="47" xr10:uidLastSave="{F005B521-32CE-46DC-B9F4-F0B5E8178B60}"/>
  <bookViews>
    <workbookView xWindow="-120" yWindow="-120" windowWidth="25440" windowHeight="15390" xr2:uid="{9A3B22A0-0B5D-4CE7-A32C-0861D01E3498}"/>
  </bookViews>
  <sheets>
    <sheet name="sklad" sheetId="1" r:id="rId1"/>
    <sheet name="provize" sheetId="3" r:id="rId2"/>
    <sheet name="pernik" sheetId="2" r:id="rId3"/>
    <sheet name="zasoba" sheetId="4" r:id="rId4"/>
    <sheet name="mzdy" sheetId="5" r:id="rId5"/>
    <sheet name="AMIS" sheetId="6" r:id="rId6"/>
    <sheet name="AMIS uloh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F11" i="5"/>
  <c r="G11" i="5" s="1"/>
  <c r="H11" i="5"/>
  <c r="D11" i="5"/>
  <c r="F12" i="5"/>
  <c r="G12" i="5"/>
  <c r="H12" i="5"/>
  <c r="D12" i="5"/>
  <c r="H6" i="5"/>
  <c r="H7" i="5"/>
  <c r="H8" i="5"/>
  <c r="H9" i="5"/>
  <c r="H10" i="5"/>
  <c r="H5" i="5"/>
  <c r="G6" i="5"/>
  <c r="G7" i="5"/>
  <c r="G8" i="5"/>
  <c r="G9" i="5"/>
  <c r="G10" i="5"/>
  <c r="G5" i="5"/>
  <c r="F6" i="5"/>
  <c r="F7" i="5"/>
  <c r="F8" i="5"/>
  <c r="F9" i="5"/>
  <c r="F10" i="5"/>
  <c r="F5" i="5"/>
  <c r="E10" i="4"/>
  <c r="E9" i="4"/>
  <c r="F9" i="4"/>
  <c r="F10" i="4" s="1"/>
  <c r="G9" i="4"/>
  <c r="G10" i="4" s="1"/>
  <c r="D9" i="4"/>
  <c r="D10" i="4" s="1"/>
  <c r="H6" i="2"/>
  <c r="H10" i="3"/>
  <c r="H7" i="3"/>
  <c r="H8" i="3"/>
  <c r="H9" i="3"/>
  <c r="H6" i="3"/>
  <c r="G10" i="3"/>
  <c r="G7" i="3"/>
  <c r="G8" i="3"/>
  <c r="G9" i="3"/>
  <c r="G6" i="3"/>
  <c r="E7" i="3"/>
  <c r="E8" i="3"/>
  <c r="E10" i="3" s="1"/>
  <c r="E9" i="3"/>
  <c r="E6" i="3"/>
  <c r="H9" i="2"/>
  <c r="H7" i="2"/>
  <c r="H8" i="2"/>
  <c r="F9" i="2"/>
  <c r="E7" i="2"/>
  <c r="E8" i="2"/>
  <c r="E9" i="2" s="1"/>
  <c r="E6" i="2"/>
  <c r="C9" i="2"/>
  <c r="I9" i="1"/>
  <c r="I7" i="1"/>
  <c r="I8" i="1"/>
  <c r="I6" i="1"/>
  <c r="H7" i="1"/>
  <c r="H8" i="1"/>
  <c r="H6" i="1"/>
  <c r="E7" i="1"/>
  <c r="E8" i="1"/>
  <c r="E6" i="1"/>
  <c r="J8" i="1" l="1"/>
  <c r="J7" i="1"/>
  <c r="H9" i="1"/>
  <c r="E9" i="1"/>
  <c r="J6" i="1"/>
  <c r="J9" i="1" l="1"/>
</calcChain>
</file>

<file path=xl/sharedStrings.xml><?xml version="1.0" encoding="utf-8"?>
<sst xmlns="http://schemas.openxmlformats.org/spreadsheetml/2006/main" count="303" uniqueCount="138">
  <si>
    <t>Vývoj skladových zásob, Pramen a.s. v dubnu 1997</t>
  </si>
  <si>
    <t>příjem na sklad</t>
  </si>
  <si>
    <t>výdej ze skladu</t>
  </si>
  <si>
    <t>zůstatek na skladu</t>
  </si>
  <si>
    <t>Produkt</t>
  </si>
  <si>
    <t>počet ks</t>
  </si>
  <si>
    <t>Kč/ks</t>
  </si>
  <si>
    <t>Kč</t>
  </si>
  <si>
    <t>Matoni</t>
  </si>
  <si>
    <t>Mirinda</t>
  </si>
  <si>
    <t>Cola</t>
  </si>
  <si>
    <t>Celkem</t>
  </si>
  <si>
    <t>Zjištění provizí v jednotlivých měsících</t>
  </si>
  <si>
    <t>Ukazatelé</t>
  </si>
  <si>
    <t>Počet</t>
  </si>
  <si>
    <t>Cena</t>
  </si>
  <si>
    <t>Tržby</t>
  </si>
  <si>
    <t>Náklady</t>
  </si>
  <si>
    <t>Zisk</t>
  </si>
  <si>
    <t>Provize 20%</t>
  </si>
  <si>
    <t>Leden</t>
  </si>
  <si>
    <t>Únor</t>
  </si>
  <si>
    <t>Březen</t>
  </si>
  <si>
    <t>Duben</t>
  </si>
  <si>
    <t>-</t>
  </si>
  <si>
    <t>Prodej výrobků a.s. perník</t>
  </si>
  <si>
    <t>Prodejny</t>
  </si>
  <si>
    <t>chléb</t>
  </si>
  <si>
    <t>rohlíky</t>
  </si>
  <si>
    <t>Ks</t>
  </si>
  <si>
    <t>c/ks</t>
  </si>
  <si>
    <t>U radnice</t>
  </si>
  <si>
    <t>Květ</t>
  </si>
  <si>
    <t>McDonald</t>
  </si>
  <si>
    <t>Jednotka</t>
  </si>
  <si>
    <t>Kvartál</t>
  </si>
  <si>
    <t>Květen</t>
  </si>
  <si>
    <t>Červen</t>
  </si>
  <si>
    <t>Dopt</t>
  </si>
  <si>
    <t>S</t>
  </si>
  <si>
    <t>p</t>
  </si>
  <si>
    <t>t</t>
  </si>
  <si>
    <t>c</t>
  </si>
  <si>
    <t>Z</t>
  </si>
  <si>
    <t>ks</t>
  </si>
  <si>
    <t>dny</t>
  </si>
  <si>
    <t>Optimální zásoba barvy Luxol</t>
  </si>
  <si>
    <t>Osobní údaje</t>
  </si>
  <si>
    <t>Vyrobeno</t>
  </si>
  <si>
    <t>Mzdové položky</t>
  </si>
  <si>
    <t>Příjmení</t>
  </si>
  <si>
    <t>Jméno</t>
  </si>
  <si>
    <t>Počet ks</t>
  </si>
  <si>
    <t>Hrubá mzda</t>
  </si>
  <si>
    <t>Sociální pojištění</t>
  </si>
  <si>
    <t>Zdravotní pojištění</t>
  </si>
  <si>
    <t>Mzdový list pracovníků</t>
  </si>
  <si>
    <t>Kalousek</t>
  </si>
  <si>
    <t>Karel</t>
  </si>
  <si>
    <t>Kratocvílová</t>
  </si>
  <si>
    <t>Marie</t>
  </si>
  <si>
    <t>Výborný</t>
  </si>
  <si>
    <t>Václav</t>
  </si>
  <si>
    <t>Marek</t>
  </si>
  <si>
    <t>Vít</t>
  </si>
  <si>
    <t>Novák</t>
  </si>
  <si>
    <t>Milan</t>
  </si>
  <si>
    <t>Vystavěl</t>
  </si>
  <si>
    <t>Průměr</t>
  </si>
  <si>
    <t>Seznam členů klubu AMIS</t>
  </si>
  <si>
    <t>p.č.:</t>
  </si>
  <si>
    <t>Město bydliště</t>
  </si>
  <si>
    <t>Datum narození</t>
  </si>
  <si>
    <t>Členem od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</si>
  <si>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</si>
  <si>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</si>
  <si>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</si>
  <si>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</si>
  <si>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</si>
  <si>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</si>
  <si>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</si>
  <si>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</si>
  <si>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</si>
  <si>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</si>
  <si>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</si>
  <si>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22.</t>
  </si>
  <si>
    <t>13.</t>
  </si>
  <si>
    <t>14.</t>
  </si>
  <si>
    <t>15.</t>
  </si>
  <si>
    <t>16.</t>
  </si>
  <si>
    <t>17.</t>
  </si>
  <si>
    <t>Martin</t>
  </si>
  <si>
    <t>Eva</t>
  </si>
  <si>
    <t>Petra</t>
  </si>
  <si>
    <t>Jarmila</t>
  </si>
  <si>
    <t>Martina</t>
  </si>
  <si>
    <t>Lenka</t>
  </si>
  <si>
    <t>František</t>
  </si>
  <si>
    <t>Klára</t>
  </si>
  <si>
    <t>Roman</t>
  </si>
  <si>
    <t>Svatopluk</t>
  </si>
  <si>
    <t>Markéta</t>
  </si>
  <si>
    <t>Radim</t>
  </si>
  <si>
    <t>Robert</t>
  </si>
  <si>
    <t>Lisický</t>
  </si>
  <si>
    <t>Marková</t>
  </si>
  <si>
    <t>Součková</t>
  </si>
  <si>
    <t>Novotná</t>
  </si>
  <si>
    <t>Taurenoová</t>
  </si>
  <si>
    <t>Pikosíková</t>
  </si>
  <si>
    <t>Markalous</t>
  </si>
  <si>
    <t>Rožánek</t>
  </si>
  <si>
    <t>Karas</t>
  </si>
  <si>
    <t>Špačková</t>
  </si>
  <si>
    <t>Issová</t>
  </si>
  <si>
    <t>Spurný</t>
  </si>
  <si>
    <t>Mrázek</t>
  </si>
  <si>
    <t>Puchmanová</t>
  </si>
  <si>
    <t>Vránová</t>
  </si>
  <si>
    <t>Rusák</t>
  </si>
  <si>
    <t>Ostrava</t>
  </si>
  <si>
    <t>Opava</t>
  </si>
  <si>
    <t>Kunčice</t>
  </si>
  <si>
    <t>Hrabůvka</t>
  </si>
  <si>
    <t>Šenov</t>
  </si>
  <si>
    <t>Vratimov</t>
  </si>
  <si>
    <t>Klimkovice</t>
  </si>
  <si>
    <t>Hlučín</t>
  </si>
  <si>
    <t>Havířov</t>
  </si>
  <si>
    <t>Kravaře</t>
  </si>
  <si>
    <t>Rychvald</t>
  </si>
  <si>
    <t>Orlová</t>
  </si>
  <si>
    <t>Členem do</t>
  </si>
  <si>
    <t>Nechte zobrazit pouze ty členy, kteří nejsou členy klubu.</t>
  </si>
  <si>
    <t>Nechte zobrazit pouze ty členy, kteří se narodili od 1.1.1976 a později, a zároveň se stali členy až v roce 2007 a zároveň jsou ještě aktinímy členy klubu.</t>
  </si>
  <si>
    <t>Nechte zobrazit pouze ty členy, kteří mají bydliště ve městě Ostrava a zárověň jsou stále členy klubu.</t>
  </si>
  <si>
    <t>Nechte zobrazit pouze členy klubu.</t>
  </si>
  <si>
    <t>Nechte zobrazit pouze členy z Opavy a jsou narozeny v roce 1974.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</si>
</sst>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č&quot;_-;\-* #,##0.00\ &quot;Kč&quot;_-;_-* &quot;-&quot;??\ &quot;Kč&quot;_-;_-@_-"/>
    <numFmt numFmtId="164" formatCode="_-* #,##0.00\ [$Kč-405]_-;\-* #,##0.00\ [$Kč-405]_-;_-* &quot;-&quot;??\ [$Kč-405]_-;_-@_-"/>
    <numFmt numFmtId="165" formatCode="_-* #,##0\ [$Kč-405]_-;\-* #,##0\ [$Kč-405]_-;_-* &quot;-&quot;??\ [$Kč-405]_-;_-@_-"/>
    <numFmt numFmtId="166" formatCode="_-* #,##0\ &quot;Kč&quot;_-;\-* #,##0\ &quot;Kč&quot;_-;_-* &quot;-&quot;??\ &quot;Kč&quot;_-;_-@_-"/>
    <numFmt numFmtId="167" formatCode="_-* #,##0.00\ _K_č_-;\-* #,##0.00\ _K_č_-;_-* &quot;-&quot;??\ _K_č_-;_-@_-"/>
    <numFmt numFmtId="168" formatCode="_-* #,##0\ _K_č_-;\-* #,##0\ _K_č_-;_-* &quot;-&quot;??\ _K_č_-;_-@_-"/>
  </numFmts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u val="double"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double">
        <color indexed="64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1" xfId="0" applyBorder="1"/>
    <xf numFmtId="44" fontId="0" fillId="0" borderId="1" xfId="1" applyFont="1" applyBorder="1"/>
    <xf numFmtId="164" fontId="0" fillId="0" borderId="6" xfId="0" applyNumberFormat="1" applyBorder="1"/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164" fontId="0" fillId="0" borderId="18" xfId="0" applyNumberFormat="1" applyBorder="1"/>
    <xf numFmtId="44" fontId="0" fillId="0" borderId="3" xfId="1" applyFont="1" applyBorder="1"/>
    <xf numFmtId="0" fontId="2" fillId="0" borderId="14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2" fillId="0" borderId="31" xfId="0" applyFont="1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12" xfId="0" applyBorder="1"/>
    <xf numFmtId="44" fontId="0" fillId="0" borderId="12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6" xfId="0" applyBorder="1"/>
    <xf numFmtId="0" fontId="0" fillId="0" borderId="37" xfId="0" applyBorder="1"/>
    <xf numFmtId="44" fontId="0" fillId="0" borderId="12" xfId="1" applyFont="1" applyBorder="1"/>
    <xf numFmtId="44" fontId="0" fillId="0" borderId="13" xfId="1" applyFont="1" applyBorder="1"/>
    <xf numFmtId="0" fontId="0" fillId="0" borderId="44" xfId="0" applyBorder="1"/>
    <xf numFmtId="2" fontId="0" fillId="0" borderId="16" xfId="0" applyNumberFormat="1" applyBorder="1"/>
    <xf numFmtId="2" fontId="0" fillId="0" borderId="10" xfId="0" applyNumberFormat="1" applyBorder="1"/>
    <xf numFmtId="2" fontId="0" fillId="0" borderId="17" xfId="0" applyNumberFormat="1" applyBorder="1"/>
    <xf numFmtId="2" fontId="0" fillId="0" borderId="1" xfId="0" applyNumberFormat="1" applyBorder="1"/>
    <xf numFmtId="44" fontId="0" fillId="0" borderId="49" xfId="1" applyFont="1" applyBorder="1"/>
    <xf numFmtId="44" fontId="0" fillId="0" borderId="52" xfId="1" applyFont="1" applyBorder="1"/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2" fontId="0" fillId="0" borderId="60" xfId="0" applyNumberFormat="1" applyBorder="1"/>
    <xf numFmtId="2" fontId="0" fillId="0" borderId="44" xfId="0" applyNumberFormat="1" applyBorder="1"/>
    <xf numFmtId="44" fontId="0" fillId="0" borderId="61" xfId="1" applyFont="1" applyBorder="1"/>
    <xf numFmtId="2" fontId="0" fillId="0" borderId="53" xfId="0" applyNumberFormat="1" applyBorder="1"/>
    <xf numFmtId="0" fontId="0" fillId="0" borderId="54" xfId="0" applyBorder="1" applyAlignment="1">
      <alignment horizontal="center"/>
    </xf>
    <xf numFmtId="0" fontId="0" fillId="0" borderId="54" xfId="0" applyBorder="1"/>
    <xf numFmtId="2" fontId="0" fillId="0" borderId="54" xfId="0" applyNumberFormat="1" applyBorder="1"/>
    <xf numFmtId="44" fontId="0" fillId="0" borderId="55" xfId="1" applyFont="1" applyBorder="1"/>
    <xf numFmtId="0" fontId="2" fillId="3" borderId="56" xfId="0" applyFont="1" applyFill="1" applyBorder="1"/>
    <xf numFmtId="0" fontId="2" fillId="3" borderId="57" xfId="0" applyFont="1" applyFill="1" applyBorder="1"/>
    <xf numFmtId="0" fontId="2" fillId="3" borderId="58" xfId="0" applyFont="1" applyFill="1" applyBorder="1"/>
    <xf numFmtId="0" fontId="2" fillId="3" borderId="59" xfId="0" applyFont="1" applyFill="1" applyBorder="1"/>
    <xf numFmtId="0" fontId="0" fillId="0" borderId="64" xfId="0" applyBorder="1"/>
    <xf numFmtId="0" fontId="0" fillId="0" borderId="65" xfId="0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2" fillId="0" borderId="31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2" fillId="0" borderId="42" xfId="0" applyFont="1" applyBorder="1" applyAlignment="1">
      <alignment horizontal="center"/>
    </xf>
    <xf numFmtId="165" fontId="0" fillId="0" borderId="38" xfId="0" applyNumberFormat="1" applyBorder="1"/>
    <xf numFmtId="165" fontId="0" fillId="0" borderId="39" xfId="0" applyNumberFormat="1" applyBorder="1"/>
    <xf numFmtId="165" fontId="0" fillId="0" borderId="40" xfId="0" applyNumberFormat="1" applyBorder="1" applyAlignment="1">
      <alignment horizontal="center"/>
    </xf>
    <xf numFmtId="164" fontId="0" fillId="0" borderId="12" xfId="0" applyNumberFormat="1" applyBorder="1"/>
    <xf numFmtId="164" fontId="0" fillId="0" borderId="13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166" fontId="0" fillId="0" borderId="9" xfId="0" applyNumberForma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8" fontId="0" fillId="0" borderId="38" xfId="1" applyNumberFormat="1" applyFont="1" applyBorder="1" applyAlignment="1">
      <alignment horizontal="right"/>
    </xf>
    <xf numFmtId="168" fontId="0" fillId="0" borderId="39" xfId="1" applyNumberFormat="1" applyFont="1" applyBorder="1" applyAlignment="1">
      <alignment horizontal="right"/>
    </xf>
    <xf numFmtId="167" fontId="0" fillId="0" borderId="34" xfId="0" applyNumberFormat="1" applyBorder="1" applyAlignment="1">
      <alignment horizontal="right"/>
    </xf>
    <xf numFmtId="167" fontId="0" fillId="0" borderId="35" xfId="0" applyNumberFormat="1" applyBorder="1" applyAlignment="1">
      <alignment horizontal="right"/>
    </xf>
    <xf numFmtId="0" fontId="0" fillId="0" borderId="66" xfId="0" applyBorder="1"/>
    <xf numFmtId="44" fontId="0" fillId="0" borderId="66" xfId="1" applyFont="1" applyBorder="1" applyAlignment="1">
      <alignment horizontal="center"/>
    </xf>
    <xf numFmtId="167" fontId="0" fillId="0" borderId="67" xfId="0" applyNumberFormat="1" applyBorder="1" applyAlignment="1">
      <alignment horizontal="right"/>
    </xf>
    <xf numFmtId="0" fontId="0" fillId="0" borderId="68" xfId="0" applyBorder="1"/>
    <xf numFmtId="44" fontId="0" fillId="0" borderId="66" xfId="1" applyFont="1" applyBorder="1"/>
    <xf numFmtId="168" fontId="0" fillId="0" borderId="69" xfId="1" applyNumberFormat="1" applyFont="1" applyBorder="1" applyAlignment="1">
      <alignment horizontal="right"/>
    </xf>
    <xf numFmtId="0" fontId="0" fillId="0" borderId="31" xfId="0" applyBorder="1"/>
    <xf numFmtId="0" fontId="0" fillId="0" borderId="31" xfId="0" applyBorder="1" applyAlignment="1">
      <alignment horizontal="center"/>
    </xf>
    <xf numFmtId="167" fontId="0" fillId="0" borderId="42" xfId="0" applyNumberFormat="1" applyBorder="1" applyAlignment="1">
      <alignment horizontal="right"/>
    </xf>
    <xf numFmtId="0" fontId="0" fillId="0" borderId="41" xfId="0" applyBorder="1"/>
    <xf numFmtId="168" fontId="0" fillId="0" borderId="43" xfId="1" applyNumberFormat="1" applyFont="1" applyBorder="1" applyAlignment="1">
      <alignment horizontal="right"/>
    </xf>
    <xf numFmtId="0" fontId="0" fillId="0" borderId="70" xfId="0" applyBorder="1"/>
    <xf numFmtId="1" fontId="0" fillId="0" borderId="70" xfId="0" applyNumberFormat="1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1" fontId="0" fillId="0" borderId="85" xfId="0" applyNumberFormat="1" applyBorder="1"/>
    <xf numFmtId="0" fontId="0" fillId="0" borderId="86" xfId="0" applyBorder="1"/>
    <xf numFmtId="0" fontId="0" fillId="0" borderId="87" xfId="0" applyBorder="1"/>
    <xf numFmtId="1" fontId="0" fillId="0" borderId="87" xfId="0" applyNumberFormat="1" applyBorder="1"/>
    <xf numFmtId="1" fontId="0" fillId="0" borderId="88" xfId="0" applyNumberFormat="1" applyBorder="1"/>
    <xf numFmtId="0" fontId="0" fillId="4" borderId="19" xfId="0" applyFill="1" applyBorder="1" applyAlignment="1">
      <alignment horizontal="center" vertical="center" textRotation="90"/>
    </xf>
    <xf numFmtId="0" fontId="0" fillId="4" borderId="20" xfId="0" applyFill="1" applyBorder="1" applyAlignment="1">
      <alignment horizontal="center" vertical="center" textRotation="90"/>
    </xf>
    <xf numFmtId="0" fontId="0" fillId="4" borderId="77" xfId="0" applyFill="1" applyBorder="1" applyAlignment="1">
      <alignment horizontal="center" vertical="center" textRotation="90"/>
    </xf>
    <xf numFmtId="0" fontId="0" fillId="0" borderId="45" xfId="0" applyBorder="1"/>
    <xf numFmtId="2" fontId="0" fillId="0" borderId="45" xfId="0" applyNumberFormat="1" applyBorder="1"/>
    <xf numFmtId="0" fontId="0" fillId="0" borderId="55" xfId="0" applyBorder="1"/>
    <xf numFmtId="0" fontId="0" fillId="0" borderId="53" xfId="0" applyBorder="1"/>
    <xf numFmtId="0" fontId="0" fillId="0" borderId="91" xfId="0" applyBorder="1"/>
    <xf numFmtId="0" fontId="7" fillId="5" borderId="92" xfId="0" applyFont="1" applyFill="1" applyBorder="1"/>
    <xf numFmtId="0" fontId="7" fillId="5" borderId="93" xfId="0" applyFont="1" applyFill="1" applyBorder="1"/>
    <xf numFmtId="0" fontId="7" fillId="5" borderId="94" xfId="0" applyFont="1" applyFill="1" applyBorder="1"/>
    <xf numFmtId="0" fontId="0" fillId="6" borderId="92" xfId="0" applyFill="1" applyBorder="1"/>
    <xf numFmtId="0" fontId="0" fillId="6" borderId="93" xfId="0" applyFill="1" applyBorder="1"/>
    <xf numFmtId="0" fontId="0" fillId="6" borderId="94" xfId="0" applyFill="1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59" xfId="0" applyBorder="1"/>
    <xf numFmtId="0" fontId="0" fillId="0" borderId="97" xfId="0" applyBorder="1"/>
    <xf numFmtId="0" fontId="0" fillId="0" borderId="95" xfId="0" applyBorder="1"/>
    <xf numFmtId="0" fontId="0" fillId="0" borderId="96" xfId="0" applyBorder="1"/>
    <xf numFmtId="0" fontId="0" fillId="0" borderId="99" xfId="0" applyBorder="1"/>
    <xf numFmtId="2" fontId="0" fillId="0" borderId="97" xfId="0" applyNumberFormat="1" applyBorder="1"/>
    <xf numFmtId="0" fontId="0" fillId="0" borderId="100" xfId="0" applyBorder="1"/>
    <xf numFmtId="0" fontId="2" fillId="0" borderId="45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textRotation="90" wrapText="1"/>
    </xf>
    <xf numFmtId="0" fontId="2" fillId="0" borderId="53" xfId="0" applyFont="1" applyBorder="1" applyAlignment="1">
      <alignment horizontal="center" vertical="center" wrapText="1"/>
    </xf>
    <xf numFmtId="0" fontId="2" fillId="0" borderId="98" xfId="0" applyFont="1" applyBorder="1"/>
    <xf numFmtId="0" fontId="2" fillId="0" borderId="55" xfId="0" applyFont="1" applyBorder="1"/>
    <xf numFmtId="0" fontId="0" fillId="0" borderId="5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/>
    <xf numFmtId="0" fontId="8" fillId="0" borderId="0" xfId="0" applyFont="1"/>
    <xf numFmtId="14" fontId="0" fillId="0" borderId="0" xfId="0" applyNumberFormat="1"/>
    <xf numFmtId="0" fontId="0" fillId="7" borderId="0" xfId="0" applyFill="1"/>
    <xf numFmtId="0" fontId="9" fillId="7" borderId="0" xfId="0" applyFont="1" applyFill="1"/>
    <xf numFmtId="14" fontId="0" fillId="6" borderId="93" xfId="0" applyNumberFormat="1" applyFill="1" applyBorder="1"/>
    <xf numFmtId="14" fontId="0" fillId="0" borderId="93" xfId="0" applyNumberFormat="1" applyBorder="1"/>
    <xf numFmtId="0" fontId="0" fillId="7" borderId="93" xfId="0" applyFill="1" applyBorder="1"/>
    <xf numFmtId="14" fontId="0" fillId="6" borderId="94" xfId="0" applyNumberFormat="1" applyFill="1" applyBorder="1"/>
    <xf numFmtId="0" fontId="9" fillId="7" borderId="93" xfId="0" applyFont="1" applyFill="1" applyBorder="1"/>
    <xf numFmtId="14" fontId="0" fillId="0" borderId="94" xfId="0" applyNumberFormat="1" applyBorder="1"/>
    <xf numFmtId="0" fontId="5" fillId="0" borderId="62" xfId="0" applyFont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6" xfId="0" applyFont="1" applyBorder="1" applyAlignment="1">
      <alignment horizontal="center"/>
    </xf>
    <xf numFmtId="0" fontId="2" fillId="4" borderId="73" xfId="0" applyFont="1" applyFill="1" applyBorder="1" applyAlignment="1">
      <alignment horizontal="center"/>
    </xf>
    <xf numFmtId="0" fontId="2" fillId="4" borderId="74" xfId="0" applyFont="1" applyFill="1" applyBorder="1" applyAlignment="1">
      <alignment horizontal="center"/>
    </xf>
    <xf numFmtId="0" fontId="2" fillId="4" borderId="75" xfId="0" applyFont="1" applyFill="1" applyBorder="1" applyAlignment="1">
      <alignment horizontal="center"/>
    </xf>
    <xf numFmtId="0" fontId="2" fillId="4" borderId="7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76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8" fillId="0" borderId="0" xfId="0" applyFont="1"/>
    <xf numFmtId="0" fontId="2" fillId="0" borderId="4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13258</xdr:colOff>
      <xdr:row>3</xdr:row>
      <xdr:rowOff>8543</xdr:rowOff>
    </xdr:from>
    <xdr:to>
      <xdr:col>1</xdr:col>
      <xdr:colOff>603849</xdr:colOff>
      <xdr:row>4</xdr:row>
      <xdr:rowOff>391783</xdr:rowOff>
    </xdr:to>
    <xdr:pic>
      <xdr:nvPicPr>
        <xdr:cNvPr id="3" name="Obrázek 2" descr="Kreslené auto png | PNGEgg">
          <a:extLst>
            <a:ext uri="{FF2B5EF4-FFF2-40B4-BE49-F238E27FC236}">
              <a16:creationId xmlns:a16="http://schemas.microsoft.com/office/drawing/2014/main" id="{32257E21-C233-44FE-AF8B-7590F0B4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96" y="590826"/>
          <a:ext cx="590591" cy="591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10297</xdr:colOff>
      <xdr:row>2</xdr:row>
      <xdr:rowOff>8534</xdr:rowOff>
    </xdr:from>
    <xdr:to>
      <xdr:col>1</xdr:col>
      <xdr:colOff>601619</xdr:colOff>
      <xdr:row>3</xdr:row>
      <xdr:rowOff>464883</xdr:rowOff>
    </xdr:to>
    <xdr:pic>
      <xdr:nvPicPr>
        <xdr:cNvPr id="2" name="Obrázek 1" descr="Brow Brush - hard - Štěteček na obočí tvrdý - eshop.dermitage">
          <a:extLst>
            <a:ext uri="{FF2B5EF4-FFF2-40B4-BE49-F238E27FC236}">
              <a16:creationId xmlns:a16="http://schemas.microsoft.com/office/drawing/2014/main" id="{CF2E8304-69D3-1E0D-61B2-A3C33F991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897" y="207826"/>
          <a:ext cx="591322" cy="655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9C9BCE-D135-45DA-90E3-0228911A7CA1}" name="Tabulka3" displayName="Tabulka3" ref="B4:H21" totalsRowShown="0">
  <autoFilter ref="B4:H21" xr:uid="{5B9C9BCE-D135-45DA-90E3-0228911A7CA1}"/>
  <tableColumns count="7">
    <tableColumn id="1" xr3:uid="{934F4EFB-84AB-45EF-A608-5634BE9C6FA3}" name="p.č.:"/>
    <tableColumn id="2" xr3:uid="{70DDA23B-7350-4172-9266-F85BCEBDE370}" name="Jméno"/>
    <tableColumn id="3" xr3:uid="{F09AA184-4102-4FB9-833B-3FDCFD5F7A39}" name="Příjmení"/>
    <tableColumn id="4" xr3:uid="{3CD02C1C-8B06-4DC3-A60D-860BB6ADAD42}" name="Město bydliště"/>
    <tableColumn id="5" xr3:uid="{F2F132DF-A133-40A4-B3C7-FFFD7146932D}" name="Datum narození"/>
    <tableColumn id="6" xr3:uid="{DD872566-FA00-4A55-9DF1-168A463BB3C0}" name="Členem od"/>
    <tableColumn id="7" xr3:uid="{F71C1359-6F65-44F9-A943-9395C5135E22}" name="Členem 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C80A-B715-47C6-AB82-54FAA0B0BCAD}">
  <dimension ref="A1:K10"/>
  <sheetViews>
    <sheetView tabSelected="1" workbookViewId="0">
      <selection activeCell="D30" sqref="D22:G30"/>
    </sheetView>
  </sheetViews>
  <sheetFormatPr defaultRowHeight="15" x14ac:dyDescent="0.25"/>
  <cols>
    <col min="1" max="1" width="1.28515625" customWidth="1"/>
    <col min="4" max="4" width="10.42578125" bestFit="1" customWidth="1"/>
    <col min="5" max="5" width="11.85546875" bestFit="1" customWidth="1"/>
    <col min="8" max="8" width="11.85546875" bestFit="1" customWidth="1"/>
    <col min="10" max="10" width="11.85546875" bestFit="1" customWidth="1"/>
    <col min="11" max="11" width="1.28515625" customWidth="1"/>
  </cols>
  <sheetData>
    <row r="1" spans="1:11" ht="4.5" customHeight="1" thickBot="1" x14ac:dyDescent="0.3">
      <c r="A1" s="6"/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9.5" thickBot="1" x14ac:dyDescent="0.35">
      <c r="A2" s="14"/>
      <c r="B2" s="152" t="s">
        <v>0</v>
      </c>
      <c r="C2" s="153"/>
      <c r="D2" s="153"/>
      <c r="E2" s="153"/>
      <c r="F2" s="153"/>
      <c r="G2" s="153"/>
      <c r="H2" s="153"/>
      <c r="I2" s="153"/>
      <c r="J2" s="153"/>
      <c r="K2" s="60"/>
    </row>
    <row r="3" spans="1:11" ht="15.75" thickBot="1" x14ac:dyDescent="0.3">
      <c r="A3" s="14"/>
      <c r="K3" s="19"/>
    </row>
    <row r="4" spans="1:11" ht="15.75" thickBot="1" x14ac:dyDescent="0.3">
      <c r="A4" s="14"/>
      <c r="B4" s="154" t="s">
        <v>4</v>
      </c>
      <c r="C4" s="182" t="s">
        <v>1</v>
      </c>
      <c r="D4" s="184"/>
      <c r="E4" s="183"/>
      <c r="F4" s="182" t="s">
        <v>2</v>
      </c>
      <c r="G4" s="184"/>
      <c r="H4" s="183"/>
      <c r="I4" s="182" t="s">
        <v>3</v>
      </c>
      <c r="J4" s="183"/>
      <c r="K4" s="19"/>
    </row>
    <row r="5" spans="1:11" ht="15.75" thickBot="1" x14ac:dyDescent="0.3">
      <c r="A5" s="14"/>
      <c r="B5" s="155"/>
      <c r="C5" s="65" t="s">
        <v>5</v>
      </c>
      <c r="D5" s="65" t="s">
        <v>6</v>
      </c>
      <c r="E5" s="69" t="s">
        <v>7</v>
      </c>
      <c r="F5" s="10" t="s">
        <v>5</v>
      </c>
      <c r="G5" s="11" t="s">
        <v>6</v>
      </c>
      <c r="H5" s="12" t="s">
        <v>7</v>
      </c>
      <c r="I5" s="10" t="s">
        <v>5</v>
      </c>
      <c r="J5" s="12" t="s">
        <v>7</v>
      </c>
      <c r="K5" s="19"/>
    </row>
    <row r="6" spans="1:11" x14ac:dyDescent="0.25">
      <c r="A6" s="14"/>
      <c r="B6" s="61" t="s">
        <v>8</v>
      </c>
      <c r="C6" s="66">
        <v>200</v>
      </c>
      <c r="D6" s="73">
        <v>7.2</v>
      </c>
      <c r="E6" s="70">
        <f>C6*D6</f>
        <v>1440</v>
      </c>
      <c r="F6" s="62">
        <v>150</v>
      </c>
      <c r="G6" s="8">
        <v>7.8</v>
      </c>
      <c r="H6" s="75">
        <f>F6*G6</f>
        <v>1170</v>
      </c>
      <c r="I6" s="78">
        <f>C6-F6</f>
        <v>50</v>
      </c>
      <c r="J6" s="7">
        <f>E6-H6</f>
        <v>270</v>
      </c>
      <c r="K6" s="19"/>
    </row>
    <row r="7" spans="1:11" x14ac:dyDescent="0.25">
      <c r="A7" s="14"/>
      <c r="B7" s="5" t="s">
        <v>9</v>
      </c>
      <c r="C7" s="67">
        <v>300</v>
      </c>
      <c r="D7" s="74">
        <v>7</v>
      </c>
      <c r="E7" s="71">
        <f t="shared" ref="E7:E8" si="0">C7*D7</f>
        <v>2100</v>
      </c>
      <c r="F7" s="63">
        <v>140</v>
      </c>
      <c r="G7" s="2">
        <v>7.6</v>
      </c>
      <c r="H7" s="76">
        <f t="shared" ref="H7:H8" si="1">F7*G7</f>
        <v>1064</v>
      </c>
      <c r="I7" s="79">
        <f t="shared" ref="I7:I8" si="2">C7-F7</f>
        <v>160</v>
      </c>
      <c r="J7" s="3">
        <f t="shared" ref="J7:J8" si="3">E7-H7</f>
        <v>1036</v>
      </c>
      <c r="K7" s="19"/>
    </row>
    <row r="8" spans="1:11" x14ac:dyDescent="0.25">
      <c r="A8" s="14"/>
      <c r="B8" s="5" t="s">
        <v>10</v>
      </c>
      <c r="C8" s="67">
        <v>250</v>
      </c>
      <c r="D8" s="74">
        <v>6.8</v>
      </c>
      <c r="E8" s="71">
        <f t="shared" si="0"/>
        <v>1700</v>
      </c>
      <c r="F8" s="63">
        <v>130</v>
      </c>
      <c r="G8" s="2">
        <v>7.2</v>
      </c>
      <c r="H8" s="76">
        <f t="shared" si="1"/>
        <v>936</v>
      </c>
      <c r="I8" s="79">
        <f t="shared" si="2"/>
        <v>120</v>
      </c>
      <c r="J8" s="3">
        <f t="shared" si="3"/>
        <v>764</v>
      </c>
      <c r="K8" s="19"/>
    </row>
    <row r="9" spans="1:11" ht="15.75" thickBot="1" x14ac:dyDescent="0.3">
      <c r="A9" s="14"/>
      <c r="B9" s="9" t="s">
        <v>11</v>
      </c>
      <c r="C9" s="68">
        <v>750</v>
      </c>
      <c r="D9" s="32" t="s">
        <v>24</v>
      </c>
      <c r="E9" s="72">
        <f>SUM(E6:E8)</f>
        <v>5240</v>
      </c>
      <c r="F9" s="64">
        <v>420</v>
      </c>
      <c r="G9" s="4" t="s">
        <v>24</v>
      </c>
      <c r="H9" s="77">
        <f>SUM(H6:H8)</f>
        <v>3170</v>
      </c>
      <c r="I9" s="80">
        <f>C9-F9</f>
        <v>330</v>
      </c>
      <c r="J9" s="13">
        <f>E9-H9</f>
        <v>2070</v>
      </c>
      <c r="K9" s="19"/>
    </row>
    <row r="10" spans="1:11" ht="5.25" customHeight="1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20"/>
    </row>
  </sheetData>
  <mergeCells count="5">
    <mergeCell ref="C4:E4"/>
    <mergeCell ref="F4:H4"/>
    <mergeCell ref="I4:J4"/>
    <mergeCell ref="B2:J2"/>
    <mergeCell ref="B4:B5"/>
  </mergeCells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ACF7-BAEA-471F-9542-530CF96EB30D}">
  <dimension ref="B2:H11"/>
  <sheetViews>
    <sheetView zoomScale="265" zoomScaleNormal="265" workbookViewId="0">
      <selection activeCell="H8" sqref="H8"/>
    </sheetView>
  </sheetViews>
  <sheetFormatPr defaultRowHeight="15" x14ac:dyDescent="0.25"/>
  <cols>
    <col min="8" max="8" width="9.42578125" bestFit="1" customWidth="1"/>
  </cols>
  <sheetData>
    <row r="2" spans="2:8" x14ac:dyDescent="0.25">
      <c r="B2" s="160" t="s">
        <v>12</v>
      </c>
      <c r="C2" s="160"/>
      <c r="D2" s="160"/>
      <c r="E2" s="160"/>
      <c r="F2" s="160"/>
      <c r="G2" s="160"/>
      <c r="H2" s="160"/>
    </row>
    <row r="3" spans="2:8" ht="15.75" thickBot="1" x14ac:dyDescent="0.3"/>
    <row r="4" spans="2:8" ht="16.5" thickTop="1" thickBot="1" x14ac:dyDescent="0.3">
      <c r="B4" s="158"/>
      <c r="C4" s="156" t="s">
        <v>13</v>
      </c>
      <c r="D4" s="156"/>
      <c r="E4" s="156"/>
      <c r="F4" s="156"/>
      <c r="G4" s="156"/>
      <c r="H4" s="157"/>
    </row>
    <row r="5" spans="2:8" ht="33" thickTop="1" thickBot="1" x14ac:dyDescent="0.3">
      <c r="B5" s="159"/>
      <c r="C5" s="46" t="s">
        <v>14</v>
      </c>
      <c r="D5" s="47" t="s">
        <v>15</v>
      </c>
      <c r="E5" s="44" t="s">
        <v>16</v>
      </c>
      <c r="F5" s="44" t="s">
        <v>17</v>
      </c>
      <c r="G5" s="44" t="s">
        <v>18</v>
      </c>
      <c r="H5" s="45" t="s">
        <v>19</v>
      </c>
    </row>
    <row r="6" spans="2:8" ht="15.75" thickTop="1" x14ac:dyDescent="0.25">
      <c r="B6" s="56" t="s">
        <v>20</v>
      </c>
      <c r="C6" s="38">
        <v>25</v>
      </c>
      <c r="D6" s="40">
        <v>5.8</v>
      </c>
      <c r="E6" s="40">
        <f>D6*C6</f>
        <v>145</v>
      </c>
      <c r="F6" s="40">
        <v>20</v>
      </c>
      <c r="G6" s="40">
        <f>E6-F6</f>
        <v>125</v>
      </c>
      <c r="H6" s="43">
        <f>G6*0.2</f>
        <v>25</v>
      </c>
    </row>
    <row r="7" spans="2:8" x14ac:dyDescent="0.25">
      <c r="B7" s="57" t="s">
        <v>21</v>
      </c>
      <c r="C7" s="39">
        <v>26</v>
      </c>
      <c r="D7" s="1">
        <v>5.63</v>
      </c>
      <c r="E7" s="1">
        <f t="shared" ref="E7:E9" si="0">D7*C7</f>
        <v>146.38</v>
      </c>
      <c r="F7" s="41">
        <v>22</v>
      </c>
      <c r="G7" s="1">
        <f t="shared" ref="G7:G9" si="1">E7-F7</f>
        <v>124.38</v>
      </c>
      <c r="H7" s="42">
        <f t="shared" ref="H7:H9" si="2">G7*0.2</f>
        <v>24.876000000000001</v>
      </c>
    </row>
    <row r="8" spans="2:8" x14ac:dyDescent="0.25">
      <c r="B8" s="57" t="s">
        <v>22</v>
      </c>
      <c r="C8" s="39">
        <v>35</v>
      </c>
      <c r="D8" s="1">
        <v>4.5599999999999996</v>
      </c>
      <c r="E8" s="41">
        <f t="shared" si="0"/>
        <v>159.6</v>
      </c>
      <c r="F8" s="41">
        <v>26</v>
      </c>
      <c r="G8" s="41">
        <f t="shared" si="1"/>
        <v>133.6</v>
      </c>
      <c r="H8" s="42">
        <f t="shared" si="2"/>
        <v>26.72</v>
      </c>
    </row>
    <row r="9" spans="2:8" ht="15.75" thickBot="1" x14ac:dyDescent="0.3">
      <c r="B9" s="58" t="s">
        <v>23</v>
      </c>
      <c r="C9" s="48">
        <v>24</v>
      </c>
      <c r="D9" s="37">
        <v>4.8899999999999997</v>
      </c>
      <c r="E9" s="37">
        <f t="shared" si="0"/>
        <v>117.35999999999999</v>
      </c>
      <c r="F9" s="49">
        <v>28</v>
      </c>
      <c r="G9" s="37">
        <f t="shared" si="1"/>
        <v>89.359999999999985</v>
      </c>
      <c r="H9" s="50">
        <f t="shared" si="2"/>
        <v>17.871999999999996</v>
      </c>
    </row>
    <row r="10" spans="2:8" ht="16.5" thickTop="1" thickBot="1" x14ac:dyDescent="0.3">
      <c r="B10" s="59" t="s">
        <v>11</v>
      </c>
      <c r="C10" s="51">
        <v>110</v>
      </c>
      <c r="D10" s="52" t="s">
        <v>24</v>
      </c>
      <c r="E10" s="53">
        <f>SUM(E6:E9)</f>
        <v>568.34</v>
      </c>
      <c r="F10" s="54">
        <v>96</v>
      </c>
      <c r="G10" s="53">
        <f>SUM(G6:G9)</f>
        <v>472.34000000000003</v>
      </c>
      <c r="H10" s="55">
        <f>G10*0.2</f>
        <v>94.468000000000018</v>
      </c>
    </row>
    <row r="11" spans="2:8" ht="15.75" thickTop="1" x14ac:dyDescent="0.25"/>
  </sheetData>
  <mergeCells count="3">
    <mergeCell ref="C4:H4"/>
    <mergeCell ref="B4:B5"/>
    <mergeCell ref="B2:H2"/>
  </mergeCells>
  <phoneticPr fontId="3" type="noConversion"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40CE-46C5-46A2-BF78-178A961DECC8}">
  <dimension ref="A1:I10"/>
  <sheetViews>
    <sheetView workbookViewId="0">
      <selection activeCell="L13" sqref="L13"/>
    </sheetView>
  </sheetViews>
  <sheetFormatPr defaultRowHeight="15" x14ac:dyDescent="0.25"/>
  <cols>
    <col min="1" max="1" width="1.5703125" customWidth="1"/>
    <col min="4" max="4" width="9.42578125" bestFit="1" customWidth="1"/>
    <col min="5" max="5" width="12.85546875" bestFit="1" customWidth="1"/>
    <col min="7" max="7" width="9.42578125" bestFit="1" customWidth="1"/>
    <col min="8" max="8" width="14" bestFit="1" customWidth="1"/>
    <col min="9" max="9" width="1.7109375" customWidth="1"/>
  </cols>
  <sheetData>
    <row r="1" spans="1:9" ht="6" customHeight="1" x14ac:dyDescent="0.25">
      <c r="A1" s="6"/>
      <c r="B1" s="17"/>
      <c r="C1" s="17"/>
      <c r="D1" s="17"/>
      <c r="E1" s="17"/>
      <c r="F1" s="17"/>
      <c r="G1" s="17"/>
      <c r="H1" s="17"/>
      <c r="I1" s="18"/>
    </row>
    <row r="2" spans="1:9" x14ac:dyDescent="0.25">
      <c r="A2" s="166" t="s">
        <v>25</v>
      </c>
      <c r="B2" s="167"/>
      <c r="C2" s="167"/>
      <c r="D2" s="167"/>
      <c r="E2" s="167"/>
      <c r="F2" s="167"/>
      <c r="G2" s="167"/>
      <c r="H2" s="167"/>
      <c r="I2" s="168"/>
    </row>
    <row r="3" spans="1:9" ht="15.75" thickBot="1" x14ac:dyDescent="0.3">
      <c r="A3" s="14"/>
      <c r="I3" s="19"/>
    </row>
    <row r="4" spans="1:9" ht="15.75" thickBot="1" x14ac:dyDescent="0.3">
      <c r="A4" s="14"/>
      <c r="B4" s="164" t="s">
        <v>26</v>
      </c>
      <c r="C4" s="161" t="s">
        <v>27</v>
      </c>
      <c r="D4" s="161"/>
      <c r="E4" s="161"/>
      <c r="F4" s="162" t="s">
        <v>28</v>
      </c>
      <c r="G4" s="161"/>
      <c r="H4" s="163"/>
      <c r="I4" s="19"/>
    </row>
    <row r="5" spans="1:9" ht="41.25" thickBot="1" x14ac:dyDescent="0.3">
      <c r="A5" s="14"/>
      <c r="B5" s="165"/>
      <c r="C5" s="21" t="s">
        <v>29</v>
      </c>
      <c r="D5" s="22" t="s">
        <v>30</v>
      </c>
      <c r="E5" s="23" t="s">
        <v>11</v>
      </c>
      <c r="F5" s="24" t="s">
        <v>29</v>
      </c>
      <c r="G5" s="22" t="s">
        <v>30</v>
      </c>
      <c r="H5" s="23" t="s">
        <v>11</v>
      </c>
      <c r="I5" s="19"/>
    </row>
    <row r="6" spans="1:9" x14ac:dyDescent="0.25">
      <c r="A6" s="14"/>
      <c r="B6" s="26" t="s">
        <v>31</v>
      </c>
      <c r="C6" s="29">
        <v>500</v>
      </c>
      <c r="D6" s="30">
        <v>8.5</v>
      </c>
      <c r="E6" s="83">
        <f>D6*C6</f>
        <v>4250</v>
      </c>
      <c r="F6" s="33">
        <v>2000</v>
      </c>
      <c r="G6" s="35">
        <v>8.5</v>
      </c>
      <c r="H6" s="81">
        <f>G6*F6</f>
        <v>17000</v>
      </c>
      <c r="I6" s="19"/>
    </row>
    <row r="7" spans="1:9" x14ac:dyDescent="0.25">
      <c r="A7" s="14"/>
      <c r="B7" s="27" t="s">
        <v>32</v>
      </c>
      <c r="C7" s="5">
        <v>600</v>
      </c>
      <c r="D7" s="31">
        <v>9</v>
      </c>
      <c r="E7" s="84">
        <f t="shared" ref="E7:E8" si="0">D7*C7</f>
        <v>5400</v>
      </c>
      <c r="F7" s="34">
        <v>6000</v>
      </c>
      <c r="G7" s="36">
        <v>9.1999999999999993</v>
      </c>
      <c r="H7" s="82">
        <f t="shared" ref="H7:H8" si="1">G7*F7</f>
        <v>55199.999999999993</v>
      </c>
      <c r="I7" s="19"/>
    </row>
    <row r="8" spans="1:9" ht="15.75" thickBot="1" x14ac:dyDescent="0.3">
      <c r="A8" s="14"/>
      <c r="B8" s="28" t="s">
        <v>33</v>
      </c>
      <c r="C8" s="85">
        <v>100</v>
      </c>
      <c r="D8" s="86">
        <v>10.199999999999999</v>
      </c>
      <c r="E8" s="87">
        <f t="shared" si="0"/>
        <v>1019.9999999999999</v>
      </c>
      <c r="F8" s="88">
        <v>5000</v>
      </c>
      <c r="G8" s="89">
        <v>10</v>
      </c>
      <c r="H8" s="90">
        <f t="shared" si="1"/>
        <v>50000</v>
      </c>
      <c r="I8" s="19"/>
    </row>
    <row r="9" spans="1:9" ht="15.75" thickBot="1" x14ac:dyDescent="0.3">
      <c r="A9" s="14"/>
      <c r="B9" s="25" t="s">
        <v>11</v>
      </c>
      <c r="C9" s="91">
        <f>SUM(C6:C8)</f>
        <v>1200</v>
      </c>
      <c r="D9" s="92" t="s">
        <v>24</v>
      </c>
      <c r="E9" s="93">
        <f>SUM(E6:E8)</f>
        <v>10670</v>
      </c>
      <c r="F9" s="94">
        <f>SUM(F6:F8)</f>
        <v>13000</v>
      </c>
      <c r="G9" s="92" t="s">
        <v>24</v>
      </c>
      <c r="H9" s="95">
        <f>SUM(H6:H8)</f>
        <v>122200</v>
      </c>
      <c r="I9" s="19"/>
    </row>
    <row r="10" spans="1:9" ht="6.75" customHeight="1" thickBot="1" x14ac:dyDescent="0.3">
      <c r="A10" s="15"/>
      <c r="B10" s="16"/>
      <c r="C10" s="16"/>
      <c r="D10" s="16"/>
      <c r="E10" s="16"/>
      <c r="F10" s="16"/>
      <c r="G10" s="16"/>
      <c r="H10" s="16"/>
      <c r="I10" s="20"/>
    </row>
  </sheetData>
  <mergeCells count="4">
    <mergeCell ref="C4:E4"/>
    <mergeCell ref="F4:H4"/>
    <mergeCell ref="B4:B5"/>
    <mergeCell ref="A2:I2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25C8-197A-4D3F-83EB-D392C8CE4C46}">
  <dimension ref="B1:G10"/>
  <sheetViews>
    <sheetView zoomScale="295" zoomScaleNormal="295" workbookViewId="0">
      <selection activeCell="B2" sqref="B2"/>
    </sheetView>
  </sheetViews>
  <sheetFormatPr defaultRowHeight="15" x14ac:dyDescent="0.25"/>
  <sheetData>
    <row r="1" spans="2:7" x14ac:dyDescent="0.25">
      <c r="B1" s="176" t="s">
        <v>46</v>
      </c>
      <c r="C1" s="176"/>
      <c r="D1" s="176"/>
      <c r="E1" s="176"/>
      <c r="F1" s="176"/>
      <c r="G1" s="176"/>
    </row>
    <row r="2" spans="2:7" ht="15.75" thickBot="1" x14ac:dyDescent="0.3"/>
    <row r="3" spans="2:7" ht="15.75" thickBot="1" x14ac:dyDescent="0.3">
      <c r="B3" s="174"/>
      <c r="C3" s="172" t="s">
        <v>34</v>
      </c>
      <c r="D3" s="169" t="s">
        <v>35</v>
      </c>
      <c r="E3" s="170"/>
      <c r="F3" s="170"/>
      <c r="G3" s="171"/>
    </row>
    <row r="4" spans="2:7" ht="39" thickBot="1" x14ac:dyDescent="0.3">
      <c r="B4" s="175"/>
      <c r="C4" s="173"/>
      <c r="D4" s="110" t="s">
        <v>22</v>
      </c>
      <c r="E4" s="111" t="s">
        <v>23</v>
      </c>
      <c r="F4" s="111" t="s">
        <v>36</v>
      </c>
      <c r="G4" s="112" t="s">
        <v>37</v>
      </c>
    </row>
    <row r="5" spans="2:7" x14ac:dyDescent="0.25">
      <c r="B5" s="98" t="s">
        <v>38</v>
      </c>
      <c r="C5" s="29"/>
      <c r="D5" s="29">
        <v>25000</v>
      </c>
      <c r="E5" s="29">
        <v>18000</v>
      </c>
      <c r="F5" s="29">
        <v>22000</v>
      </c>
      <c r="G5" s="99">
        <v>16000</v>
      </c>
    </row>
    <row r="6" spans="2:7" x14ac:dyDescent="0.25">
      <c r="B6" s="100" t="s">
        <v>39</v>
      </c>
      <c r="C6" s="5" t="s">
        <v>44</v>
      </c>
      <c r="D6" s="5">
        <v>2500</v>
      </c>
      <c r="E6" s="5">
        <v>3000</v>
      </c>
      <c r="F6" s="5">
        <v>3000</v>
      </c>
      <c r="G6" s="101">
        <v>3500</v>
      </c>
    </row>
    <row r="7" spans="2:7" x14ac:dyDescent="0.25">
      <c r="B7" s="100" t="s">
        <v>40</v>
      </c>
      <c r="C7" s="5" t="s">
        <v>45</v>
      </c>
      <c r="D7" s="5">
        <v>1</v>
      </c>
      <c r="E7" s="5">
        <v>0</v>
      </c>
      <c r="F7" s="5">
        <v>1</v>
      </c>
      <c r="G7" s="101">
        <v>1</v>
      </c>
    </row>
    <row r="8" spans="2:7" ht="15.75" thickBot="1" x14ac:dyDescent="0.3">
      <c r="B8" s="102" t="s">
        <v>41</v>
      </c>
      <c r="C8" s="85" t="s">
        <v>45</v>
      </c>
      <c r="D8" s="85">
        <v>2</v>
      </c>
      <c r="E8" s="85">
        <v>3</v>
      </c>
      <c r="F8" s="85">
        <v>1</v>
      </c>
      <c r="G8" s="103">
        <v>2</v>
      </c>
    </row>
    <row r="9" spans="2:7" ht="15.75" thickTop="1" x14ac:dyDescent="0.25">
      <c r="B9" s="104" t="s">
        <v>42</v>
      </c>
      <c r="C9" s="96" t="s">
        <v>45</v>
      </c>
      <c r="D9" s="97">
        <f>D5/D6</f>
        <v>10</v>
      </c>
      <c r="E9" s="97">
        <f t="shared" ref="E9:G9" si="0">E5/E6</f>
        <v>6</v>
      </c>
      <c r="F9" s="97">
        <f t="shared" si="0"/>
        <v>7.333333333333333</v>
      </c>
      <c r="G9" s="105">
        <f t="shared" si="0"/>
        <v>4.5714285714285712</v>
      </c>
    </row>
    <row r="10" spans="2:7" ht="15.75" thickBot="1" x14ac:dyDescent="0.3">
      <c r="B10" s="106" t="s">
        <v>43</v>
      </c>
      <c r="C10" s="107" t="s">
        <v>44</v>
      </c>
      <c r="D10" s="108">
        <f>(D9/2+D7+D8)*D6/360</f>
        <v>55.555555555555557</v>
      </c>
      <c r="E10" s="108">
        <f t="shared" ref="E10:G10" si="1">(E9/2+E7+E8)*E6/360</f>
        <v>50</v>
      </c>
      <c r="F10" s="108">
        <f t="shared" si="1"/>
        <v>47.222222222222221</v>
      </c>
      <c r="G10" s="109">
        <f t="shared" si="1"/>
        <v>51.388888888888886</v>
      </c>
    </row>
  </sheetData>
  <mergeCells count="4">
    <mergeCell ref="D3:G3"/>
    <mergeCell ref="C3:C4"/>
    <mergeCell ref="B3:B4"/>
    <mergeCell ref="B1:G1"/>
  </mergeCells>
  <phoneticPr fontId="3" type="noConversion"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48C4-447B-433D-8F05-C65F103EE1C8}">
  <dimension ref="B1:H13"/>
  <sheetViews>
    <sheetView workbookViewId="0">
      <selection activeCell="E14" sqref="E14"/>
    </sheetView>
  </sheetViews>
  <sheetFormatPr defaultRowHeight="15" x14ac:dyDescent="0.25"/>
  <sheetData>
    <row r="1" spans="2:8" ht="18.75" x14ac:dyDescent="0.3">
      <c r="B1" s="180" t="s">
        <v>56</v>
      </c>
      <c r="C1" s="180"/>
      <c r="D1" s="180"/>
      <c r="E1" s="180"/>
      <c r="F1" s="180"/>
      <c r="G1" s="180"/>
      <c r="H1" s="180"/>
    </row>
    <row r="3" spans="2:8" ht="15.75" thickBot="1" x14ac:dyDescent="0.3">
      <c r="B3" s="177" t="s">
        <v>47</v>
      </c>
      <c r="C3" s="178"/>
      <c r="D3" s="178" t="s">
        <v>48</v>
      </c>
      <c r="E3" s="178"/>
      <c r="F3" s="178" t="s">
        <v>49</v>
      </c>
      <c r="G3" s="178"/>
      <c r="H3" s="179"/>
    </row>
    <row r="4" spans="2:8" ht="46.5" thickTop="1" thickBot="1" x14ac:dyDescent="0.3">
      <c r="B4" s="45" t="s">
        <v>50</v>
      </c>
      <c r="C4" s="134" t="s">
        <v>51</v>
      </c>
      <c r="D4" s="135" t="s">
        <v>52</v>
      </c>
      <c r="E4" s="135" t="s">
        <v>6</v>
      </c>
      <c r="F4" s="134" t="s">
        <v>53</v>
      </c>
      <c r="G4" s="134" t="s">
        <v>54</v>
      </c>
      <c r="H4" s="136" t="s">
        <v>55</v>
      </c>
    </row>
    <row r="5" spans="2:8" ht="16.5" thickTop="1" thickBot="1" x14ac:dyDescent="0.3">
      <c r="B5" s="115" t="s">
        <v>57</v>
      </c>
      <c r="C5" s="113" t="s">
        <v>58</v>
      </c>
      <c r="D5" s="113">
        <v>410</v>
      </c>
      <c r="E5" s="114">
        <v>13.5</v>
      </c>
      <c r="F5" s="113">
        <f>D5*E5</f>
        <v>5535</v>
      </c>
      <c r="G5" s="113">
        <f>F5*0.045</f>
        <v>249.07499999999999</v>
      </c>
      <c r="H5" s="116">
        <f>F5*0.08</f>
        <v>442.8</v>
      </c>
    </row>
    <row r="6" spans="2:8" ht="16.5" thickTop="1" thickBot="1" x14ac:dyDescent="0.3">
      <c r="B6" s="115" t="s">
        <v>59</v>
      </c>
      <c r="C6" s="113" t="s">
        <v>60</v>
      </c>
      <c r="D6" s="113">
        <v>390</v>
      </c>
      <c r="E6" s="114">
        <v>17</v>
      </c>
      <c r="F6" s="113">
        <f t="shared" ref="F6:F10" si="0">D6*E6</f>
        <v>6630</v>
      </c>
      <c r="G6" s="113">
        <f t="shared" ref="G6:G11" si="1">F6*0.045</f>
        <v>298.34999999999997</v>
      </c>
      <c r="H6" s="116">
        <f t="shared" ref="H6:H11" si="2">F6*0.08</f>
        <v>530.4</v>
      </c>
    </row>
    <row r="7" spans="2:8" ht="16.5" thickTop="1" thickBot="1" x14ac:dyDescent="0.3">
      <c r="B7" s="115" t="s">
        <v>61</v>
      </c>
      <c r="C7" s="113" t="s">
        <v>62</v>
      </c>
      <c r="D7" s="113">
        <v>380</v>
      </c>
      <c r="E7" s="114">
        <v>14</v>
      </c>
      <c r="F7" s="113">
        <f t="shared" si="0"/>
        <v>5320</v>
      </c>
      <c r="G7" s="113">
        <f t="shared" si="1"/>
        <v>239.39999999999998</v>
      </c>
      <c r="H7" s="116">
        <f t="shared" si="2"/>
        <v>425.6</v>
      </c>
    </row>
    <row r="8" spans="2:8" ht="16.5" thickTop="1" thickBot="1" x14ac:dyDescent="0.3">
      <c r="B8" s="115" t="s">
        <v>63</v>
      </c>
      <c r="C8" s="113" t="s">
        <v>64</v>
      </c>
      <c r="D8" s="113">
        <v>367</v>
      </c>
      <c r="E8" s="114">
        <v>12.5</v>
      </c>
      <c r="F8" s="113">
        <f t="shared" si="0"/>
        <v>4587.5</v>
      </c>
      <c r="G8" s="113">
        <f t="shared" si="1"/>
        <v>206.4375</v>
      </c>
      <c r="H8" s="116">
        <f t="shared" si="2"/>
        <v>367</v>
      </c>
    </row>
    <row r="9" spans="2:8" ht="16.5" thickTop="1" thickBot="1" x14ac:dyDescent="0.3">
      <c r="B9" s="115" t="s">
        <v>65</v>
      </c>
      <c r="C9" s="113" t="s">
        <v>66</v>
      </c>
      <c r="D9" s="113">
        <v>350</v>
      </c>
      <c r="E9" s="114">
        <v>15</v>
      </c>
      <c r="F9" s="113">
        <f t="shared" si="0"/>
        <v>5250</v>
      </c>
      <c r="G9" s="117">
        <f t="shared" si="1"/>
        <v>236.25</v>
      </c>
      <c r="H9" s="116">
        <f t="shared" si="2"/>
        <v>420</v>
      </c>
    </row>
    <row r="10" spans="2:8" ht="16.5" thickTop="1" thickBot="1" x14ac:dyDescent="0.3">
      <c r="B10" s="131" t="s">
        <v>67</v>
      </c>
      <c r="C10" s="128" t="s">
        <v>66</v>
      </c>
      <c r="D10" s="128">
        <v>340</v>
      </c>
      <c r="E10" s="132">
        <v>16.3</v>
      </c>
      <c r="F10" s="128">
        <f t="shared" si="0"/>
        <v>5542</v>
      </c>
      <c r="G10" s="133">
        <f t="shared" si="1"/>
        <v>249.39</v>
      </c>
      <c r="H10" s="129">
        <f t="shared" si="2"/>
        <v>443.36</v>
      </c>
    </row>
    <row r="11" spans="2:8" ht="16.5" thickTop="1" thickBot="1" x14ac:dyDescent="0.3">
      <c r="B11" s="137" t="s">
        <v>11</v>
      </c>
      <c r="C11" s="139" t="s">
        <v>24</v>
      </c>
      <c r="D11" s="127">
        <f>D5+D6+D7+D8+D9+D10</f>
        <v>2237</v>
      </c>
      <c r="E11" s="139" t="s">
        <v>24</v>
      </c>
      <c r="F11" s="127">
        <f>F5+F6+F7+F8+F9+F10</f>
        <v>32864.5</v>
      </c>
      <c r="G11" s="127">
        <f t="shared" si="1"/>
        <v>1478.9024999999999</v>
      </c>
      <c r="H11" s="130">
        <f t="shared" si="2"/>
        <v>2629.16</v>
      </c>
    </row>
    <row r="12" spans="2:8" ht="16.5" thickTop="1" thickBot="1" x14ac:dyDescent="0.3">
      <c r="B12" s="138" t="s">
        <v>68</v>
      </c>
      <c r="C12" s="140" t="s">
        <v>24</v>
      </c>
      <c r="D12" s="114">
        <f>(D5+D6+D7+D8+D9+E10)/6</f>
        <v>318.88333333333333</v>
      </c>
      <c r="E12" s="114">
        <f>(E5+E6+E7+E8+E9+F10)/6</f>
        <v>935.66666666666663</v>
      </c>
      <c r="F12" s="114">
        <f t="shared" ref="F12:H12" si="3">(F5+F6+F7+F8+F9+G10)/6</f>
        <v>4595.3149999999996</v>
      </c>
      <c r="G12" s="114">
        <f t="shared" si="3"/>
        <v>278.81208333333331</v>
      </c>
      <c r="H12" s="51">
        <f t="shared" si="3"/>
        <v>364.3</v>
      </c>
    </row>
    <row r="13" spans="2:8" ht="15.75" thickTop="1" x14ac:dyDescent="0.25">
      <c r="B13" s="141"/>
      <c r="H13" s="141"/>
    </row>
  </sheetData>
  <mergeCells count="4">
    <mergeCell ref="B3:C3"/>
    <mergeCell ref="D3:E3"/>
    <mergeCell ref="F3:H3"/>
    <mergeCell ref="B1:H1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6DC-8BFC-4200-B0F5-535125CF6F67}">
  <dimension ref="B2:H21"/>
  <sheetViews>
    <sheetView workbookViewId="0">
      <selection activeCell="A2" sqref="A2"/>
    </sheetView>
  </sheetViews>
  <sheetFormatPr defaultRowHeight="15" x14ac:dyDescent="0.25"/>
  <cols>
    <col min="1" max="1" width="11.140625" customWidth="1"/>
    <col min="2" max="2" width="5.85546875" customWidth="1"/>
    <col min="3" max="8" width="18.28515625" customWidth="1"/>
  </cols>
  <sheetData>
    <row r="2" spans="2:8" ht="23.25" x14ac:dyDescent="0.35">
      <c r="B2" s="181" t="s">
        <v>69</v>
      </c>
      <c r="C2" s="181"/>
      <c r="D2" s="181"/>
      <c r="E2" s="181"/>
    </row>
    <row r="3" spans="2:8" ht="12.75" customHeight="1" x14ac:dyDescent="0.35">
      <c r="B3" s="142"/>
      <c r="C3" s="142"/>
      <c r="D3" s="142"/>
      <c r="E3" s="142"/>
    </row>
    <row r="4" spans="2:8" x14ac:dyDescent="0.25">
      <c r="B4" t="s">
        <v>70</v>
      </c>
      <c r="C4" t="s">
        <v>51</v>
      </c>
      <c r="D4" t="s">
        <v>50</v>
      </c>
      <c r="E4" t="s">
        <v>71</v>
      </c>
      <c r="F4" t="s">
        <v>72</v>
      </c>
      <c r="G4" t="s">
        <v>73</v>
      </c>
      <c r="H4" t="s">
        <v>132</v>
      </c>
    </row>
    <row r="5" spans="2:8" x14ac:dyDescent="0.25">
      <c r="B5" t="s">
        <v>74</v>
      </c>
      <c r="C5" t="s">
        <v>58</v>
      </c>
      <c r="D5" t="s">
        <v>65</v>
      </c>
      <c r="E5" t="s">
        <v>120</v>
      </c>
      <c r="F5" s="143">
        <v>29184</v>
      </c>
      <c r="G5" s="143">
        <v>38961</v>
      </c>
    </row>
    <row r="6" spans="2:8" x14ac:dyDescent="0.25">
      <c r="B6" t="s">
        <v>75</v>
      </c>
      <c r="C6" t="s">
        <v>91</v>
      </c>
      <c r="D6" t="s">
        <v>104</v>
      </c>
      <c r="E6" t="s">
        <v>121</v>
      </c>
      <c r="F6" s="143">
        <v>27468</v>
      </c>
      <c r="G6" s="143">
        <v>38975</v>
      </c>
    </row>
    <row r="7" spans="2:8" x14ac:dyDescent="0.25">
      <c r="B7" t="s">
        <v>76</v>
      </c>
      <c r="C7" t="s">
        <v>92</v>
      </c>
      <c r="D7" s="144" t="s">
        <v>105</v>
      </c>
      <c r="E7" t="s">
        <v>120</v>
      </c>
      <c r="F7" s="143">
        <v>27145</v>
      </c>
      <c r="G7" s="143">
        <v>39071</v>
      </c>
      <c r="H7" s="143">
        <v>39121</v>
      </c>
    </row>
    <row r="8" spans="2:8" x14ac:dyDescent="0.25">
      <c r="B8" t="s">
        <v>77</v>
      </c>
      <c r="C8" t="s">
        <v>93</v>
      </c>
      <c r="D8" t="s">
        <v>106</v>
      </c>
      <c r="E8" t="s">
        <v>122</v>
      </c>
      <c r="F8" s="143">
        <v>27621</v>
      </c>
      <c r="G8" s="143">
        <v>39083</v>
      </c>
    </row>
    <row r="9" spans="2:8" x14ac:dyDescent="0.25">
      <c r="B9" t="s">
        <v>78</v>
      </c>
      <c r="C9" t="s">
        <v>94</v>
      </c>
      <c r="D9" t="s">
        <v>107</v>
      </c>
      <c r="E9" t="s">
        <v>120</v>
      </c>
      <c r="F9" s="143">
        <v>29170</v>
      </c>
      <c r="G9" s="143">
        <v>39128</v>
      </c>
    </row>
    <row r="10" spans="2:8" x14ac:dyDescent="0.25">
      <c r="B10" t="s">
        <v>79</v>
      </c>
      <c r="C10" t="s">
        <v>95</v>
      </c>
      <c r="D10" s="145" t="s">
        <v>108</v>
      </c>
      <c r="E10" t="s">
        <v>123</v>
      </c>
      <c r="F10" s="143">
        <v>26926</v>
      </c>
      <c r="G10" s="143">
        <v>39003</v>
      </c>
      <c r="H10" s="143">
        <v>39092</v>
      </c>
    </row>
    <row r="11" spans="2:8" x14ac:dyDescent="0.25">
      <c r="B11" t="s">
        <v>80</v>
      </c>
      <c r="C11" t="s">
        <v>96</v>
      </c>
      <c r="D11" t="s">
        <v>109</v>
      </c>
      <c r="E11" t="s">
        <v>124</v>
      </c>
      <c r="F11" s="143">
        <v>27348</v>
      </c>
      <c r="G11" s="143">
        <v>39005</v>
      </c>
    </row>
    <row r="12" spans="2:8" x14ac:dyDescent="0.25">
      <c r="B12" t="s">
        <v>81</v>
      </c>
      <c r="C12" t="s">
        <v>97</v>
      </c>
      <c r="D12" t="s">
        <v>110</v>
      </c>
      <c r="E12" t="s">
        <v>125</v>
      </c>
      <c r="F12" s="143">
        <v>28819</v>
      </c>
      <c r="G12" s="143">
        <v>38961</v>
      </c>
    </row>
    <row r="13" spans="2:8" x14ac:dyDescent="0.25">
      <c r="B13" t="s">
        <v>82</v>
      </c>
      <c r="C13" t="s">
        <v>63</v>
      </c>
      <c r="D13" t="s">
        <v>111</v>
      </c>
      <c r="E13" t="s">
        <v>126</v>
      </c>
      <c r="F13" s="143">
        <v>29570</v>
      </c>
      <c r="G13" s="143">
        <v>38962</v>
      </c>
    </row>
    <row r="14" spans="2:8" x14ac:dyDescent="0.25">
      <c r="B14" t="s">
        <v>83</v>
      </c>
      <c r="C14" t="s">
        <v>102</v>
      </c>
      <c r="D14" t="s">
        <v>112</v>
      </c>
      <c r="E14" t="s">
        <v>127</v>
      </c>
      <c r="F14" s="143">
        <v>27740</v>
      </c>
      <c r="G14" s="143">
        <v>38961</v>
      </c>
    </row>
    <row r="15" spans="2:8" x14ac:dyDescent="0.25">
      <c r="B15" t="s">
        <v>84</v>
      </c>
      <c r="C15" t="s">
        <v>95</v>
      </c>
      <c r="D15" s="144" t="s">
        <v>113</v>
      </c>
      <c r="E15" t="s">
        <v>124</v>
      </c>
      <c r="F15" s="143">
        <v>28260</v>
      </c>
      <c r="G15" s="143">
        <v>38961</v>
      </c>
      <c r="H15" s="143">
        <v>39114</v>
      </c>
    </row>
    <row r="16" spans="2:8" x14ac:dyDescent="0.25">
      <c r="B16" t="s">
        <v>85</v>
      </c>
      <c r="C16" t="s">
        <v>98</v>
      </c>
      <c r="D16" t="s">
        <v>114</v>
      </c>
      <c r="E16" t="s">
        <v>128</v>
      </c>
      <c r="F16" s="143">
        <v>27897</v>
      </c>
      <c r="G16" s="143">
        <v>39128</v>
      </c>
    </row>
    <row r="17" spans="2:7" x14ac:dyDescent="0.25">
      <c r="B17" t="s">
        <v>86</v>
      </c>
      <c r="C17" t="s">
        <v>99</v>
      </c>
      <c r="D17" t="s">
        <v>115</v>
      </c>
      <c r="E17" t="s">
        <v>120</v>
      </c>
      <c r="F17" s="143">
        <v>29083</v>
      </c>
      <c r="G17" s="143">
        <v>39015</v>
      </c>
    </row>
    <row r="18" spans="2:7" x14ac:dyDescent="0.25">
      <c r="B18" t="s">
        <v>87</v>
      </c>
      <c r="C18" t="s">
        <v>100</v>
      </c>
      <c r="D18" t="s">
        <v>116</v>
      </c>
      <c r="E18" t="s">
        <v>129</v>
      </c>
      <c r="F18" s="143">
        <v>27041</v>
      </c>
      <c r="G18" s="143">
        <v>39024</v>
      </c>
    </row>
    <row r="19" spans="2:7" x14ac:dyDescent="0.25">
      <c r="B19" t="s">
        <v>88</v>
      </c>
      <c r="C19" t="s">
        <v>101</v>
      </c>
      <c r="D19" t="s">
        <v>117</v>
      </c>
      <c r="E19" t="s">
        <v>130</v>
      </c>
      <c r="F19" s="143">
        <v>28110</v>
      </c>
      <c r="G19" s="143">
        <v>38968</v>
      </c>
    </row>
    <row r="20" spans="2:7" x14ac:dyDescent="0.25">
      <c r="B20" t="s">
        <v>89</v>
      </c>
      <c r="C20" t="s">
        <v>93</v>
      </c>
      <c r="D20" t="s">
        <v>118</v>
      </c>
      <c r="E20" t="s">
        <v>131</v>
      </c>
      <c r="F20" s="143">
        <v>26527</v>
      </c>
      <c r="G20" s="143">
        <v>39187</v>
      </c>
    </row>
    <row r="21" spans="2:7" x14ac:dyDescent="0.25">
      <c r="B21" t="s">
        <v>90</v>
      </c>
      <c r="C21" t="s">
        <v>103</v>
      </c>
      <c r="D21" t="s">
        <v>119</v>
      </c>
      <c r="E21" t="s">
        <v>121</v>
      </c>
      <c r="F21" s="143">
        <v>27303</v>
      </c>
      <c r="G21" s="143">
        <v>39155</v>
      </c>
    </row>
  </sheetData>
  <mergeCells count="1">
    <mergeCell ref="B2:E2"/>
  </mergeCells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B2B-6CEC-46B6-81F9-A9D5130904BD}">
  <dimension ref="B2:H43"/>
  <sheetViews>
    <sheetView workbookViewId="0">
      <selection activeCell="O44" sqref="O44"/>
    </sheetView>
  </sheetViews>
  <sheetFormatPr defaultRowHeight="15" x14ac:dyDescent="0.25"/>
  <cols>
    <col min="6" max="6" width="15.140625" bestFit="1" customWidth="1"/>
    <col min="7" max="8" width="10.5703125" bestFit="1" customWidth="1"/>
  </cols>
  <sheetData>
    <row r="2" spans="2:8" x14ac:dyDescent="0.25">
      <c r="B2" t="s">
        <v>135</v>
      </c>
    </row>
    <row r="4" spans="2:8" x14ac:dyDescent="0.25">
      <c r="B4" s="118" t="s">
        <v>70</v>
      </c>
      <c r="C4" s="119" t="s">
        <v>51</v>
      </c>
      <c r="D4" s="119" t="s">
        <v>50</v>
      </c>
      <c r="E4" s="119" t="s">
        <v>71</v>
      </c>
      <c r="F4" s="119" t="s">
        <v>72</v>
      </c>
      <c r="G4" s="119" t="s">
        <v>73</v>
      </c>
      <c r="H4" s="120" t="s">
        <v>132</v>
      </c>
    </row>
    <row r="5" spans="2:8" x14ac:dyDescent="0.25">
      <c r="B5" s="121" t="s">
        <v>74</v>
      </c>
      <c r="C5" s="122" t="s">
        <v>58</v>
      </c>
      <c r="D5" s="122" t="s">
        <v>65</v>
      </c>
      <c r="E5" s="122" t="s">
        <v>120</v>
      </c>
      <c r="F5" s="146">
        <v>29184</v>
      </c>
      <c r="G5" s="146">
        <v>38961</v>
      </c>
      <c r="H5" s="123"/>
    </row>
    <row r="6" spans="2:8" x14ac:dyDescent="0.25">
      <c r="B6" s="124" t="s">
        <v>78</v>
      </c>
      <c r="C6" s="125" t="s">
        <v>94</v>
      </c>
      <c r="D6" s="125" t="s">
        <v>107</v>
      </c>
      <c r="E6" s="125" t="s">
        <v>120</v>
      </c>
      <c r="F6" s="147">
        <v>29170</v>
      </c>
      <c r="G6" s="147">
        <v>39128</v>
      </c>
      <c r="H6" s="126"/>
    </row>
    <row r="7" spans="2:8" x14ac:dyDescent="0.25">
      <c r="B7" s="121" t="s">
        <v>86</v>
      </c>
      <c r="C7" s="122" t="s">
        <v>99</v>
      </c>
      <c r="D7" s="122" t="s">
        <v>115</v>
      </c>
      <c r="E7" s="122" t="s">
        <v>120</v>
      </c>
      <c r="F7" s="146">
        <v>29083</v>
      </c>
      <c r="G7" s="146">
        <v>39015</v>
      </c>
      <c r="H7" s="123"/>
    </row>
    <row r="9" spans="2:8" x14ac:dyDescent="0.25">
      <c r="B9" t="s">
        <v>134</v>
      </c>
    </row>
    <row r="11" spans="2:8" x14ac:dyDescent="0.25">
      <c r="B11" s="118" t="s">
        <v>70</v>
      </c>
      <c r="C11" s="119" t="s">
        <v>51</v>
      </c>
      <c r="D11" s="119" t="s">
        <v>50</v>
      </c>
      <c r="E11" s="119" t="s">
        <v>71</v>
      </c>
      <c r="F11" s="119" t="s">
        <v>72</v>
      </c>
      <c r="G11" s="119" t="s">
        <v>73</v>
      </c>
      <c r="H11" s="120" t="s">
        <v>132</v>
      </c>
    </row>
    <row r="12" spans="2:8" x14ac:dyDescent="0.25">
      <c r="B12" s="121" t="s">
        <v>78</v>
      </c>
      <c r="C12" s="122" t="s">
        <v>94</v>
      </c>
      <c r="D12" s="122" t="s">
        <v>107</v>
      </c>
      <c r="E12" s="122" t="s">
        <v>120</v>
      </c>
      <c r="F12" s="146">
        <v>29170</v>
      </c>
      <c r="G12" s="146">
        <v>39128</v>
      </c>
      <c r="H12" s="123"/>
    </row>
    <row r="13" spans="2:8" x14ac:dyDescent="0.25">
      <c r="B13" s="124" t="s">
        <v>85</v>
      </c>
      <c r="C13" s="125" t="s">
        <v>98</v>
      </c>
      <c r="D13" s="125" t="s">
        <v>114</v>
      </c>
      <c r="E13" s="125" t="s">
        <v>128</v>
      </c>
      <c r="F13" s="147">
        <v>27897</v>
      </c>
      <c r="G13" s="147">
        <v>39128</v>
      </c>
      <c r="H13" s="126"/>
    </row>
    <row r="15" spans="2:8" x14ac:dyDescent="0.25">
      <c r="B15" t="s">
        <v>133</v>
      </c>
    </row>
    <row r="17" spans="2:8" x14ac:dyDescent="0.25">
      <c r="B17" s="118" t="s">
        <v>70</v>
      </c>
      <c r="C17" s="119" t="s">
        <v>51</v>
      </c>
      <c r="D17" s="119" t="s">
        <v>50</v>
      </c>
      <c r="E17" s="119" t="s">
        <v>71</v>
      </c>
      <c r="F17" s="119" t="s">
        <v>72</v>
      </c>
      <c r="G17" s="119" t="s">
        <v>73</v>
      </c>
      <c r="H17" s="120" t="s">
        <v>132</v>
      </c>
    </row>
    <row r="18" spans="2:8" x14ac:dyDescent="0.25">
      <c r="B18" s="121" t="s">
        <v>76</v>
      </c>
      <c r="C18" s="122" t="s">
        <v>92</v>
      </c>
      <c r="D18" s="148" t="s">
        <v>105</v>
      </c>
      <c r="E18" s="122" t="s">
        <v>120</v>
      </c>
      <c r="F18" s="146">
        <v>27145</v>
      </c>
      <c r="G18" s="146">
        <v>39071</v>
      </c>
      <c r="H18" s="149">
        <v>39121</v>
      </c>
    </row>
    <row r="19" spans="2:8" x14ac:dyDescent="0.25">
      <c r="B19" s="124" t="s">
        <v>79</v>
      </c>
      <c r="C19" s="125" t="s">
        <v>95</v>
      </c>
      <c r="D19" s="150" t="s">
        <v>108</v>
      </c>
      <c r="E19" s="125" t="s">
        <v>123</v>
      </c>
      <c r="F19" s="147">
        <v>26926</v>
      </c>
      <c r="G19" s="147">
        <v>39003</v>
      </c>
      <c r="H19" s="151">
        <v>39092</v>
      </c>
    </row>
    <row r="20" spans="2:8" x14ac:dyDescent="0.25">
      <c r="B20" s="121" t="s">
        <v>84</v>
      </c>
      <c r="C20" s="122" t="s">
        <v>95</v>
      </c>
      <c r="D20" s="148" t="s">
        <v>113</v>
      </c>
      <c r="E20" s="122" t="s">
        <v>124</v>
      </c>
      <c r="F20" s="146">
        <v>28260</v>
      </c>
      <c r="G20" s="146">
        <v>38961</v>
      </c>
      <c r="H20" s="149">
        <v>39114</v>
      </c>
    </row>
    <row r="22" spans="2:8" x14ac:dyDescent="0.25">
      <c r="B22" t="s">
        <v>136</v>
      </c>
    </row>
    <row r="24" spans="2:8" x14ac:dyDescent="0.25">
      <c r="B24" s="118" t="s">
        <v>70</v>
      </c>
      <c r="C24" s="119" t="s">
        <v>51</v>
      </c>
      <c r="D24" s="119" t="s">
        <v>50</v>
      </c>
      <c r="E24" s="119" t="s">
        <v>71</v>
      </c>
      <c r="F24" s="119" t="s">
        <v>72</v>
      </c>
      <c r="G24" s="119" t="s">
        <v>73</v>
      </c>
      <c r="H24" s="120" t="s">
        <v>132</v>
      </c>
    </row>
    <row r="25" spans="2:8" x14ac:dyDescent="0.25">
      <c r="B25" s="121" t="s">
        <v>74</v>
      </c>
      <c r="C25" s="122" t="s">
        <v>58</v>
      </c>
      <c r="D25" s="122" t="s">
        <v>65</v>
      </c>
      <c r="E25" s="122" t="s">
        <v>120</v>
      </c>
      <c r="F25" s="146">
        <v>29184</v>
      </c>
      <c r="G25" s="146">
        <v>38961</v>
      </c>
      <c r="H25" s="123"/>
    </row>
    <row r="26" spans="2:8" x14ac:dyDescent="0.25">
      <c r="B26" s="124" t="s">
        <v>75</v>
      </c>
      <c r="C26" s="125" t="s">
        <v>91</v>
      </c>
      <c r="D26" s="125" t="s">
        <v>104</v>
      </c>
      <c r="E26" s="125" t="s">
        <v>121</v>
      </c>
      <c r="F26" s="147">
        <v>27468</v>
      </c>
      <c r="G26" s="147">
        <v>38975</v>
      </c>
      <c r="H26" s="126"/>
    </row>
    <row r="27" spans="2:8" x14ac:dyDescent="0.25">
      <c r="B27" s="121" t="s">
        <v>77</v>
      </c>
      <c r="C27" s="122" t="s">
        <v>93</v>
      </c>
      <c r="D27" s="122" t="s">
        <v>106</v>
      </c>
      <c r="E27" s="122" t="s">
        <v>122</v>
      </c>
      <c r="F27" s="146">
        <v>27621</v>
      </c>
      <c r="G27" s="146">
        <v>39083</v>
      </c>
      <c r="H27" s="123"/>
    </row>
    <row r="28" spans="2:8" x14ac:dyDescent="0.25">
      <c r="B28" s="124" t="s">
        <v>78</v>
      </c>
      <c r="C28" s="125" t="s">
        <v>94</v>
      </c>
      <c r="D28" s="125" t="s">
        <v>107</v>
      </c>
      <c r="E28" s="125" t="s">
        <v>120</v>
      </c>
      <c r="F28" s="147">
        <v>29170</v>
      </c>
      <c r="G28" s="147">
        <v>39128</v>
      </c>
      <c r="H28" s="126"/>
    </row>
    <row r="29" spans="2:8" x14ac:dyDescent="0.25">
      <c r="B29" s="121" t="s">
        <v>80</v>
      </c>
      <c r="C29" s="122" t="s">
        <v>96</v>
      </c>
      <c r="D29" s="122" t="s">
        <v>109</v>
      </c>
      <c r="E29" s="122" t="s">
        <v>124</v>
      </c>
      <c r="F29" s="146">
        <v>27348</v>
      </c>
      <c r="G29" s="146">
        <v>39005</v>
      </c>
      <c r="H29" s="123"/>
    </row>
    <row r="30" spans="2:8" x14ac:dyDescent="0.25">
      <c r="B30" s="124" t="s">
        <v>81</v>
      </c>
      <c r="C30" s="125" t="s">
        <v>97</v>
      </c>
      <c r="D30" s="125" t="s">
        <v>110</v>
      </c>
      <c r="E30" s="125" t="s">
        <v>125</v>
      </c>
      <c r="F30" s="147">
        <v>28819</v>
      </c>
      <c r="G30" s="147">
        <v>38961</v>
      </c>
      <c r="H30" s="126"/>
    </row>
    <row r="31" spans="2:8" x14ac:dyDescent="0.25">
      <c r="B31" s="121" t="s">
        <v>82</v>
      </c>
      <c r="C31" s="122" t="s">
        <v>63</v>
      </c>
      <c r="D31" s="122" t="s">
        <v>111</v>
      </c>
      <c r="E31" s="122" t="s">
        <v>126</v>
      </c>
      <c r="F31" s="146">
        <v>29570</v>
      </c>
      <c r="G31" s="146">
        <v>38962</v>
      </c>
      <c r="H31" s="123"/>
    </row>
    <row r="32" spans="2:8" x14ac:dyDescent="0.25">
      <c r="B32" s="124" t="s">
        <v>83</v>
      </c>
      <c r="C32" s="125" t="s">
        <v>102</v>
      </c>
      <c r="D32" s="125" t="s">
        <v>112</v>
      </c>
      <c r="E32" s="125" t="s">
        <v>127</v>
      </c>
      <c r="F32" s="147">
        <v>27740</v>
      </c>
      <c r="G32" s="147">
        <v>38961</v>
      </c>
      <c r="H32" s="126"/>
    </row>
    <row r="33" spans="2:8" x14ac:dyDescent="0.25">
      <c r="B33" s="121" t="s">
        <v>85</v>
      </c>
      <c r="C33" s="122" t="s">
        <v>98</v>
      </c>
      <c r="D33" s="122" t="s">
        <v>114</v>
      </c>
      <c r="E33" s="122" t="s">
        <v>128</v>
      </c>
      <c r="F33" s="146">
        <v>27897</v>
      </c>
      <c r="G33" s="146">
        <v>39128</v>
      </c>
      <c r="H33" s="123"/>
    </row>
    <row r="34" spans="2:8" x14ac:dyDescent="0.25">
      <c r="B34" s="124" t="s">
        <v>86</v>
      </c>
      <c r="C34" s="125" t="s">
        <v>99</v>
      </c>
      <c r="D34" s="125" t="s">
        <v>115</v>
      </c>
      <c r="E34" s="125" t="s">
        <v>120</v>
      </c>
      <c r="F34" s="147">
        <v>29083</v>
      </c>
      <c r="G34" s="147">
        <v>39015</v>
      </c>
      <c r="H34" s="126"/>
    </row>
    <row r="35" spans="2:8" x14ac:dyDescent="0.25">
      <c r="B35" s="121" t="s">
        <v>87</v>
      </c>
      <c r="C35" s="122" t="s">
        <v>100</v>
      </c>
      <c r="D35" s="122" t="s">
        <v>116</v>
      </c>
      <c r="E35" s="122" t="s">
        <v>129</v>
      </c>
      <c r="F35" s="146">
        <v>27041</v>
      </c>
      <c r="G35" s="146">
        <v>39024</v>
      </c>
      <c r="H35" s="123"/>
    </row>
    <row r="36" spans="2:8" x14ac:dyDescent="0.25">
      <c r="B36" s="124" t="s">
        <v>88</v>
      </c>
      <c r="C36" s="125" t="s">
        <v>101</v>
      </c>
      <c r="D36" s="125" t="s">
        <v>117</v>
      </c>
      <c r="E36" s="125" t="s">
        <v>130</v>
      </c>
      <c r="F36" s="147">
        <v>28110</v>
      </c>
      <c r="G36" s="147">
        <v>38968</v>
      </c>
      <c r="H36" s="126"/>
    </row>
    <row r="37" spans="2:8" x14ac:dyDescent="0.25">
      <c r="B37" s="121" t="s">
        <v>89</v>
      </c>
      <c r="C37" s="122" t="s">
        <v>93</v>
      </c>
      <c r="D37" s="122" t="s">
        <v>118</v>
      </c>
      <c r="E37" s="122" t="s">
        <v>131</v>
      </c>
      <c r="F37" s="146">
        <v>26527</v>
      </c>
      <c r="G37" s="146">
        <v>39187</v>
      </c>
      <c r="H37" s="123"/>
    </row>
    <row r="38" spans="2:8" x14ac:dyDescent="0.25">
      <c r="B38" s="124" t="s">
        <v>90</v>
      </c>
      <c r="C38" s="125" t="s">
        <v>103</v>
      </c>
      <c r="D38" s="125" t="s">
        <v>119</v>
      </c>
      <c r="E38" s="125" t="s">
        <v>121</v>
      </c>
      <c r="F38" s="147">
        <v>27303</v>
      </c>
      <c r="G38" s="147">
        <v>39155</v>
      </c>
      <c r="H38" s="126"/>
    </row>
    <row r="40" spans="2:8" x14ac:dyDescent="0.25">
      <c r="B40" t="s">
        <v>137</v>
      </c>
    </row>
    <row r="42" spans="2:8" x14ac:dyDescent="0.25">
      <c r="B42" s="118" t="s">
        <v>70</v>
      </c>
      <c r="C42" s="119" t="s">
        <v>51</v>
      </c>
      <c r="D42" s="119" t="s">
        <v>50</v>
      </c>
      <c r="E42" s="119" t="s">
        <v>71</v>
      </c>
      <c r="F42" s="119" t="s">
        <v>72</v>
      </c>
      <c r="G42" s="119" t="s">
        <v>73</v>
      </c>
      <c r="H42" s="120" t="s">
        <v>132</v>
      </c>
    </row>
    <row r="43" spans="2:8" x14ac:dyDescent="0.25">
      <c r="B43" s="121" t="s">
        <v>90</v>
      </c>
      <c r="C43" s="122" t="s">
        <v>103</v>
      </c>
      <c r="D43" s="122" t="s">
        <v>119</v>
      </c>
      <c r="E43" s="122" t="s">
        <v>121</v>
      </c>
      <c r="F43" s="146">
        <v>27303</v>
      </c>
      <c r="G43" s="146">
        <v>39155</v>
      </c>
      <c r="H43" s="12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0894994F-F7BE-42EE-8BEC-4D7596894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579D05-8572-464D-A9EA-E8C2331A33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414E5B-AFAF-48E9-A533-097C5ED58305}">
  <ds:schemaRefs>
    <ds:schemaRef ds:uri="http://www.w3.org/XML/1998/namespace"/>
    <ds:schemaRef ds:uri="5f220dc0-27a6-4f79-8ef7-91d1414d0c8a"/>
    <ds:schemaRef ds:uri="http://schemas.microsoft.com/office/infopath/2007/PartnerControls"/>
    <ds:schemaRef ds:uri="8716bbdc-2b9e-4b6c-9f5d-91220b825f80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sklad</vt:lpstr>
      <vt:lpstr>provize</vt:lpstr>
      <vt:lpstr>pernik</vt:lpstr>
      <vt:lpstr>zasoba</vt:lpstr>
      <vt:lpstr>mzdy</vt:lpstr>
      <vt:lpstr>AMIS</vt:lpstr>
      <vt:lpstr>AMIS ulohy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ŠTÍPA</dc:creator>
  <cp:keywords/>
  <dc:description/>
  <cp:lastModifiedBy>Alex ŠTÍPA</cp:lastModifiedBy>
  <cp:revision/>
  <cp:lastPrinted>2023-01-17T07:51:57Z</cp:lastPrinted>
  <dcterms:created xsi:type="dcterms:W3CDTF">2023-01-12T08:15:53Z</dcterms:created>
  <dcterms:modified xsi:type="dcterms:W3CDTF">2023-01-19T08:24:44Z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