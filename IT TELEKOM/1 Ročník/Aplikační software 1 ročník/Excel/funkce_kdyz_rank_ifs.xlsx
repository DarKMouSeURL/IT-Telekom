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 filterPrivacy="1"/>
  <xr:revisionPtr revIDLastSave="207" documentId="8_{8DE9E0C2-9D91-4485-83B9-0AC7A1BC4266}" xr6:coauthVersionLast="47" xr6:coauthVersionMax="47" xr10:uidLastSave="{24324FB2-9D3C-4493-BB31-3209D73B41E7}"/>
  <bookViews>
    <workbookView xWindow="-120" yWindow="-120" windowWidth="25440" windowHeight="15390" activeTab="2" xr2:uid="{00000000-000D-0000-FFFF-FFFF00000000}"/>
  </bookViews>
  <sheets>
    <sheet name="Přijímací zkoušky" sheetId="1" r:id="rId1"/>
    <sheet name="Klasifikace" sheetId="2" r:id="rId2"/>
    <sheet name="Přijímací zkoušky (2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4" l="1"/>
  <c r="I32" i="4"/>
  <c r="I39" i="4"/>
  <c r="I63" i="4"/>
  <c r="I68" i="4"/>
  <c r="I75" i="4"/>
  <c r="I80" i="4"/>
  <c r="I92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4" i="4"/>
  <c r="F4" i="4"/>
  <c r="F5" i="4"/>
  <c r="I5" i="4" s="1"/>
  <c r="F6" i="4"/>
  <c r="I6" i="4" s="1"/>
  <c r="F7" i="4"/>
  <c r="F8" i="4"/>
  <c r="F9" i="4"/>
  <c r="F10" i="4"/>
  <c r="I10" i="4" s="1"/>
  <c r="F11" i="4"/>
  <c r="I11" i="4" s="1"/>
  <c r="F12" i="4"/>
  <c r="I12" i="4" s="1"/>
  <c r="F13" i="4"/>
  <c r="I13" i="4" s="1"/>
  <c r="F14" i="4"/>
  <c r="I14" i="4" s="1"/>
  <c r="F15" i="4"/>
  <c r="F16" i="4"/>
  <c r="F17" i="4"/>
  <c r="I17" i="4" s="1"/>
  <c r="F18" i="4"/>
  <c r="I18" i="4" s="1"/>
  <c r="F19" i="4"/>
  <c r="I19" i="4" s="1"/>
  <c r="F20" i="4"/>
  <c r="F21" i="4"/>
  <c r="F22" i="4"/>
  <c r="I22" i="4" s="1"/>
  <c r="F23" i="4"/>
  <c r="F24" i="4"/>
  <c r="I24" i="4" s="1"/>
  <c r="F25" i="4"/>
  <c r="I25" i="4" s="1"/>
  <c r="F26" i="4"/>
  <c r="F27" i="4"/>
  <c r="F28" i="4"/>
  <c r="I28" i="4" s="1"/>
  <c r="F29" i="4"/>
  <c r="I29" i="4" s="1"/>
  <c r="F30" i="4"/>
  <c r="F31" i="4"/>
  <c r="I31" i="4" s="1"/>
  <c r="F32" i="4"/>
  <c r="F33" i="4"/>
  <c r="F34" i="4"/>
  <c r="I34" i="4" s="1"/>
  <c r="F35" i="4"/>
  <c r="F36" i="4"/>
  <c r="F37" i="4"/>
  <c r="I37" i="4" s="1"/>
  <c r="F38" i="4"/>
  <c r="I38" i="4" s="1"/>
  <c r="F39" i="4"/>
  <c r="F40" i="4"/>
  <c r="I40" i="4" s="1"/>
  <c r="F41" i="4"/>
  <c r="I41" i="4" s="1"/>
  <c r="F42" i="4"/>
  <c r="F43" i="4"/>
  <c r="F44" i="4"/>
  <c r="F45" i="4"/>
  <c r="I45" i="4" s="1"/>
  <c r="F46" i="4"/>
  <c r="F47" i="4"/>
  <c r="I47" i="4" s="1"/>
  <c r="F48" i="4"/>
  <c r="F49" i="4"/>
  <c r="I49" i="4" s="1"/>
  <c r="F50" i="4"/>
  <c r="F51" i="4"/>
  <c r="F52" i="4"/>
  <c r="I52" i="4" s="1"/>
  <c r="F53" i="4"/>
  <c r="I53" i="4" s="1"/>
  <c r="F54" i="4"/>
  <c r="I54" i="4" s="1"/>
  <c r="F55" i="4"/>
  <c r="F56" i="4"/>
  <c r="F57" i="4"/>
  <c r="I57" i="4" s="1"/>
  <c r="F58" i="4"/>
  <c r="F59" i="4"/>
  <c r="F60" i="4"/>
  <c r="I60" i="4" s="1"/>
  <c r="F61" i="4"/>
  <c r="I61" i="4" s="1"/>
  <c r="F62" i="4"/>
  <c r="F63" i="4"/>
  <c r="F64" i="4"/>
  <c r="F65" i="4"/>
  <c r="F66" i="4"/>
  <c r="F67" i="4"/>
  <c r="I67" i="4" s="1"/>
  <c r="F68" i="4"/>
  <c r="F69" i="4"/>
  <c r="I69" i="4" s="1"/>
  <c r="F70" i="4"/>
  <c r="I70" i="4" s="1"/>
  <c r="F71" i="4"/>
  <c r="I71" i="4" s="1"/>
  <c r="F72" i="4"/>
  <c r="F73" i="4"/>
  <c r="I73" i="4" s="1"/>
  <c r="F74" i="4"/>
  <c r="F75" i="4"/>
  <c r="F76" i="4"/>
  <c r="I76" i="4" s="1"/>
  <c r="F77" i="4"/>
  <c r="F78" i="4"/>
  <c r="I78" i="4" s="1"/>
  <c r="F79" i="4"/>
  <c r="I79" i="4" s="1"/>
  <c r="F80" i="4"/>
  <c r="F81" i="4"/>
  <c r="F82" i="4"/>
  <c r="I82" i="4" s="1"/>
  <c r="F83" i="4"/>
  <c r="I83" i="4" s="1"/>
  <c r="F84" i="4"/>
  <c r="F85" i="4"/>
  <c r="I85" i="4" s="1"/>
  <c r="F86" i="4"/>
  <c r="I86" i="4" s="1"/>
  <c r="F87" i="4"/>
  <c r="F88" i="4"/>
  <c r="F89" i="4"/>
  <c r="I89" i="4" s="1"/>
  <c r="F90" i="4"/>
  <c r="I90" i="4" s="1"/>
  <c r="F91" i="4"/>
  <c r="I91" i="4" s="1"/>
  <c r="F92" i="4"/>
  <c r="F93" i="4"/>
  <c r="F94" i="4"/>
  <c r="I94" i="4" s="1"/>
  <c r="F95" i="4"/>
  <c r="I95" i="4" s="1"/>
  <c r="F96" i="4"/>
  <c r="F97" i="4"/>
  <c r="F98" i="4"/>
  <c r="I98" i="4" s="1"/>
  <c r="F99" i="4"/>
  <c r="F100" i="4"/>
  <c r="I100" i="4" s="1"/>
  <c r="F101" i="4"/>
  <c r="F102" i="4"/>
  <c r="I102" i="4" s="1"/>
  <c r="N6" i="2" a="1"/>
  <c r="N6" i="2" s="1"/>
  <c r="N7" i="2" a="1"/>
  <c r="N7" i="2" s="1"/>
  <c r="N8" i="2" a="1"/>
  <c r="N8" i="2" s="1"/>
  <c r="N9" i="2" a="1"/>
  <c r="N9" i="2" s="1"/>
  <c r="N10" i="2" a="1"/>
  <c r="N10" i="2" s="1"/>
  <c r="N11" i="2" a="1"/>
  <c r="N11" i="2" s="1"/>
  <c r="N12" i="2" a="1"/>
  <c r="N12" i="2" s="1"/>
  <c r="N13" i="2" a="1"/>
  <c r="N13" i="2" s="1"/>
  <c r="N14" i="2" a="1"/>
  <c r="N14" i="2" s="1"/>
  <c r="N5" i="2" a="1"/>
  <c r="N5" i="2" s="1"/>
  <c r="M6" i="2"/>
  <c r="M7" i="2"/>
  <c r="M8" i="2"/>
  <c r="M9" i="2"/>
  <c r="M10" i="2"/>
  <c r="M11" i="2"/>
  <c r="M12" i="2"/>
  <c r="M13" i="2"/>
  <c r="M14" i="2"/>
  <c r="M5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I70" i="1" s="1"/>
  <c r="F71" i="1"/>
  <c r="I71" i="1" s="1"/>
  <c r="F72" i="1"/>
  <c r="I72" i="1" s="1"/>
  <c r="F73" i="1"/>
  <c r="I73" i="1" s="1"/>
  <c r="F74" i="1"/>
  <c r="I74" i="1" s="1"/>
  <c r="F75" i="1"/>
  <c r="I75" i="1" s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I102" i="1" s="1"/>
  <c r="I64" i="4" l="1"/>
  <c r="I36" i="4"/>
  <c r="I96" i="4"/>
  <c r="I59" i="4"/>
  <c r="I35" i="4"/>
  <c r="I58" i="4"/>
  <c r="I93" i="4"/>
  <c r="I42" i="4"/>
  <c r="I30" i="4"/>
  <c r="I101" i="4"/>
  <c r="H5" i="4"/>
  <c r="H4" i="4"/>
  <c r="I4" i="4" s="1"/>
  <c r="H99" i="4"/>
  <c r="I99" i="4" s="1"/>
  <c r="H75" i="4"/>
  <c r="H15" i="4"/>
  <c r="I15" i="4" s="1"/>
  <c r="H85" i="4"/>
  <c r="H37" i="4"/>
  <c r="H95" i="4"/>
  <c r="H83" i="4"/>
  <c r="H59" i="4"/>
  <c r="H47" i="4"/>
  <c r="H35" i="4"/>
  <c r="H23" i="4"/>
  <c r="I23" i="4" s="1"/>
  <c r="H11" i="4"/>
  <c r="H63" i="4"/>
  <c r="H27" i="4"/>
  <c r="I27" i="4" s="1"/>
  <c r="H73" i="4"/>
  <c r="H13" i="4"/>
  <c r="H71" i="4"/>
  <c r="H69" i="4"/>
  <c r="H21" i="4"/>
  <c r="I21" i="4" s="1"/>
  <c r="H44" i="4"/>
  <c r="I44" i="4" s="1"/>
  <c r="H79" i="4"/>
  <c r="H93" i="4"/>
  <c r="H45" i="4"/>
  <c r="H92" i="4"/>
  <c r="H56" i="4"/>
  <c r="I56" i="4" s="1"/>
  <c r="H8" i="4"/>
  <c r="I8" i="4" s="1"/>
  <c r="H67" i="4"/>
  <c r="H31" i="4"/>
  <c r="H7" i="4"/>
  <c r="I7" i="4" s="1"/>
  <c r="H81" i="4"/>
  <c r="I81" i="4" s="1"/>
  <c r="H33" i="4"/>
  <c r="I33" i="4" s="1"/>
  <c r="H80" i="4"/>
  <c r="H20" i="4"/>
  <c r="H91" i="4"/>
  <c r="H43" i="4"/>
  <c r="I43" i="4" s="1"/>
  <c r="H19" i="4"/>
  <c r="H57" i="4"/>
  <c r="H9" i="4"/>
  <c r="I9" i="4" s="1"/>
  <c r="H68" i="4"/>
  <c r="H32" i="4"/>
  <c r="H55" i="4"/>
  <c r="I55" i="4" s="1"/>
  <c r="H100" i="4"/>
  <c r="H88" i="4"/>
  <c r="I88" i="4" s="1"/>
  <c r="H76" i="4"/>
  <c r="H64" i="4"/>
  <c r="H52" i="4"/>
  <c r="H40" i="4"/>
  <c r="H28" i="4"/>
  <c r="H16" i="4"/>
  <c r="I16" i="4" s="1"/>
  <c r="H51" i="4"/>
  <c r="I51" i="4" s="1"/>
  <c r="H49" i="4"/>
  <c r="H87" i="4"/>
  <c r="I87" i="4" s="1"/>
  <c r="H39" i="4"/>
  <c r="H97" i="4"/>
  <c r="I97" i="4" s="1"/>
  <c r="H61" i="4"/>
  <c r="H25" i="4"/>
  <c r="H96" i="4"/>
  <c r="H84" i="4"/>
  <c r="I84" i="4" s="1"/>
  <c r="H72" i="4"/>
  <c r="I72" i="4" s="1"/>
  <c r="H60" i="4"/>
  <c r="H48" i="4"/>
  <c r="I48" i="4" s="1"/>
  <c r="H36" i="4"/>
  <c r="H24" i="4"/>
  <c r="H12" i="4"/>
  <c r="H101" i="4"/>
  <c r="H89" i="4"/>
  <c r="H65" i="4"/>
  <c r="I65" i="4" s="1"/>
  <c r="H53" i="4"/>
  <c r="H41" i="4"/>
  <c r="H29" i="4"/>
  <c r="H98" i="4"/>
  <c r="H62" i="4"/>
  <c r="I62" i="4" s="1"/>
  <c r="H38" i="4"/>
  <c r="H26" i="4"/>
  <c r="I26" i="4" s="1"/>
  <c r="H14" i="4"/>
  <c r="H86" i="4"/>
  <c r="H74" i="4"/>
  <c r="I74" i="4" s="1"/>
  <c r="H50" i="4"/>
  <c r="I50" i="4" s="1"/>
  <c r="H94" i="4"/>
  <c r="H82" i="4"/>
  <c r="H70" i="4"/>
  <c r="H58" i="4"/>
  <c r="H46" i="4"/>
  <c r="I46" i="4" s="1"/>
  <c r="H10" i="4"/>
  <c r="H22" i="4"/>
  <c r="H34" i="4"/>
  <c r="H102" i="4"/>
  <c r="H90" i="4"/>
  <c r="H78" i="4"/>
  <c r="H66" i="4"/>
  <c r="I66" i="4" s="1"/>
  <c r="H54" i="4"/>
  <c r="H42" i="4"/>
  <c r="H30" i="4"/>
  <c r="H18" i="4"/>
  <c r="H6" i="4"/>
  <c r="H77" i="4"/>
  <c r="I77" i="4" s="1"/>
  <c r="H17" i="4"/>
  <c r="H99" i="1"/>
  <c r="H95" i="1"/>
  <c r="H91" i="1"/>
  <c r="H87" i="1"/>
  <c r="H83" i="1"/>
  <c r="H79" i="1"/>
  <c r="H75" i="1"/>
  <c r="H71" i="1"/>
  <c r="H67" i="1"/>
  <c r="H63" i="1"/>
  <c r="H59" i="1"/>
  <c r="H55" i="1"/>
  <c r="H51" i="1"/>
  <c r="H47" i="1"/>
  <c r="H43" i="1"/>
  <c r="H39" i="1"/>
  <c r="H35" i="1"/>
  <c r="H31" i="1"/>
  <c r="H27" i="1"/>
  <c r="H23" i="1"/>
  <c r="H19" i="1"/>
  <c r="H15" i="1"/>
  <c r="H11" i="1"/>
  <c r="H7" i="1"/>
  <c r="H102" i="1"/>
  <c r="H98" i="1"/>
  <c r="H94" i="1"/>
  <c r="H90" i="1"/>
  <c r="H86" i="1"/>
  <c r="H82" i="1"/>
  <c r="H78" i="1"/>
  <c r="H74" i="1"/>
  <c r="H70" i="1"/>
  <c r="H66" i="1"/>
  <c r="H62" i="1"/>
  <c r="H58" i="1"/>
  <c r="H54" i="1"/>
  <c r="H50" i="1"/>
  <c r="H46" i="1"/>
  <c r="H42" i="1"/>
  <c r="H38" i="1"/>
  <c r="H34" i="1"/>
  <c r="H30" i="1"/>
  <c r="H26" i="1"/>
  <c r="H22" i="1"/>
  <c r="H18" i="1"/>
  <c r="H14" i="1"/>
  <c r="H10" i="1"/>
  <c r="H6" i="1"/>
  <c r="H101" i="1"/>
  <c r="H97" i="1"/>
  <c r="H93" i="1"/>
  <c r="H89" i="1"/>
  <c r="H85" i="1"/>
  <c r="H81" i="1"/>
  <c r="H77" i="1"/>
  <c r="H73" i="1"/>
  <c r="H69" i="1"/>
  <c r="H65" i="1"/>
  <c r="H61" i="1"/>
  <c r="H57" i="1"/>
  <c r="H53" i="1"/>
  <c r="H49" i="1"/>
  <c r="H45" i="1"/>
  <c r="H41" i="1"/>
  <c r="H37" i="1"/>
  <c r="H33" i="1"/>
  <c r="H29" i="1"/>
  <c r="H25" i="1"/>
  <c r="H21" i="1"/>
  <c r="H17" i="1"/>
  <c r="H13" i="1"/>
  <c r="H9" i="1"/>
  <c r="H5" i="1"/>
  <c r="H100" i="1"/>
  <c r="H96" i="1"/>
  <c r="H92" i="1"/>
  <c r="H88" i="1"/>
  <c r="H84" i="1"/>
  <c r="H80" i="1"/>
  <c r="H76" i="1"/>
  <c r="H72" i="1"/>
  <c r="H68" i="1"/>
  <c r="H64" i="1"/>
  <c r="H60" i="1"/>
  <c r="H56" i="1"/>
  <c r="H52" i="1"/>
  <c r="H48" i="1"/>
  <c r="H44" i="1"/>
  <c r="H40" i="1"/>
  <c r="H36" i="1"/>
  <c r="H32" i="1"/>
  <c r="H28" i="1"/>
  <c r="H24" i="1"/>
  <c r="H20" i="1"/>
  <c r="H16" i="1"/>
  <c r="H12" i="1"/>
  <c r="H8" i="1"/>
  <c r="H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<sst xmlns="http://schemas.openxmlformats.org/spreadsheetml/2006/main" count="442" uniqueCount="214">
  <si>
    <t>Přijímací zkoušky</t>
  </si>
  <si>
    <t>Příjmení</t>
  </si>
  <si>
    <t>Jméno</t>
  </si>
  <si>
    <t>ČJ</t>
  </si>
  <si>
    <t>AJ</t>
  </si>
  <si>
    <t>M</t>
  </si>
  <si>
    <t>Celkem bodů</t>
  </si>
  <si>
    <t>Průměr</t>
  </si>
  <si>
    <t>Pořadí</t>
  </si>
  <si>
    <t>Výsledek</t>
  </si>
  <si>
    <t>Novák</t>
  </si>
  <si>
    <t>Jiří</t>
  </si>
  <si>
    <t>Svoboda</t>
  </si>
  <si>
    <t>Jan</t>
  </si>
  <si>
    <t>Novotný</t>
  </si>
  <si>
    <t>Petr</t>
  </si>
  <si>
    <t>Dvořák</t>
  </si>
  <si>
    <t>Černý</t>
  </si>
  <si>
    <t>Pavel</t>
  </si>
  <si>
    <t>Procházka</t>
  </si>
  <si>
    <t>Jaroslav</t>
  </si>
  <si>
    <t>Kučera</t>
  </si>
  <si>
    <t>Martin</t>
  </si>
  <si>
    <t>Veselý</t>
  </si>
  <si>
    <t>Tomáš</t>
  </si>
  <si>
    <t>Horák</t>
  </si>
  <si>
    <t>Miroslav</t>
  </si>
  <si>
    <t>Němec</t>
  </si>
  <si>
    <t>František</t>
  </si>
  <si>
    <t>Pokorný</t>
  </si>
  <si>
    <t>Josef</t>
  </si>
  <si>
    <t>Marek</t>
  </si>
  <si>
    <t>Štěpán</t>
  </si>
  <si>
    <t>Pospíšil</t>
  </si>
  <si>
    <t>Štepán</t>
  </si>
  <si>
    <t>Hájek</t>
  </si>
  <si>
    <t>Václav</t>
  </si>
  <si>
    <t>Jelínek</t>
  </si>
  <si>
    <t>Michal</t>
  </si>
  <si>
    <t>Král</t>
  </si>
  <si>
    <t>Karel</t>
  </si>
  <si>
    <t>Růžička</t>
  </si>
  <si>
    <t>Milan</t>
  </si>
  <si>
    <t>Beneš</t>
  </si>
  <si>
    <t>Vladimír</t>
  </si>
  <si>
    <t>Fiala</t>
  </si>
  <si>
    <t>David</t>
  </si>
  <si>
    <t>Sedláček</t>
  </si>
  <si>
    <t>Jakub</t>
  </si>
  <si>
    <t>Doležal</t>
  </si>
  <si>
    <t>Lukáš</t>
  </si>
  <si>
    <t>Zeman</t>
  </si>
  <si>
    <t>Ladislav</t>
  </si>
  <si>
    <t>Nguyen</t>
  </si>
  <si>
    <t>Stanislav</t>
  </si>
  <si>
    <t>Roman</t>
  </si>
  <si>
    <t>Ondřej</t>
  </si>
  <si>
    <t>Kolář</t>
  </si>
  <si>
    <t>Radek</t>
  </si>
  <si>
    <t>Krejčí</t>
  </si>
  <si>
    <t>Daniel</t>
  </si>
  <si>
    <t>Navrátil</t>
  </si>
  <si>
    <t>Miloslav</t>
  </si>
  <si>
    <t>Čermák</t>
  </si>
  <si>
    <t>Urban</t>
  </si>
  <si>
    <t>Vojtěch</t>
  </si>
  <si>
    <t>Vaněk</t>
  </si>
  <si>
    <t>Filip</t>
  </si>
  <si>
    <t>Blažek</t>
  </si>
  <si>
    <t>Jaromír</t>
  </si>
  <si>
    <t>Kříž</t>
  </si>
  <si>
    <t>Ivan</t>
  </si>
  <si>
    <t>Kratochvíl</t>
  </si>
  <si>
    <t>Aleš</t>
  </si>
  <si>
    <t>Kovář</t>
  </si>
  <si>
    <t>Oldřich</t>
  </si>
  <si>
    <t>Kopecký</t>
  </si>
  <si>
    <t>Libor</t>
  </si>
  <si>
    <t>Bartoš</t>
  </si>
  <si>
    <t>Rudolf</t>
  </si>
  <si>
    <t>Vlček</t>
  </si>
  <si>
    <t>Jindřich</t>
  </si>
  <si>
    <t>Musil</t>
  </si>
  <si>
    <t>Miloš</t>
  </si>
  <si>
    <t>Šimek</t>
  </si>
  <si>
    <t>Adam</t>
  </si>
  <si>
    <t>Polák</t>
  </si>
  <si>
    <t>Lubomír</t>
  </si>
  <si>
    <t>Konečný</t>
  </si>
  <si>
    <t>Patrik</t>
  </si>
  <si>
    <t>Malý</t>
  </si>
  <si>
    <t>Dominik</t>
  </si>
  <si>
    <t>Čech</t>
  </si>
  <si>
    <t>Bohumil</t>
  </si>
  <si>
    <t>Kadlec</t>
  </si>
  <si>
    <t>Luboš</t>
  </si>
  <si>
    <t>Štěpánek</t>
  </si>
  <si>
    <t>Robert</t>
  </si>
  <si>
    <t>Staněk</t>
  </si>
  <si>
    <t>Radim</t>
  </si>
  <si>
    <t>Holub</t>
  </si>
  <si>
    <t>Richard</t>
  </si>
  <si>
    <t>Dostál</t>
  </si>
  <si>
    <t>Ivo</t>
  </si>
  <si>
    <t>Poláková</t>
  </si>
  <si>
    <t>Marie</t>
  </si>
  <si>
    <t>Konečná</t>
  </si>
  <si>
    <t>Jana</t>
  </si>
  <si>
    <t>Malá</t>
  </si>
  <si>
    <t>Eva</t>
  </si>
  <si>
    <t>Dvořáková</t>
  </si>
  <si>
    <t>Anna</t>
  </si>
  <si>
    <t>Černá</t>
  </si>
  <si>
    <t>Hana</t>
  </si>
  <si>
    <t>Procházková</t>
  </si>
  <si>
    <t>Věra</t>
  </si>
  <si>
    <t>Kučerová</t>
  </si>
  <si>
    <t>Lenka</t>
  </si>
  <si>
    <t>Veselá</t>
  </si>
  <si>
    <t>Alena</t>
  </si>
  <si>
    <t>Horáková</t>
  </si>
  <si>
    <t>Jaroslava</t>
  </si>
  <si>
    <t>Němcová</t>
  </si>
  <si>
    <t>Lucie</t>
  </si>
  <si>
    <t>Pokorná</t>
  </si>
  <si>
    <t>Petra</t>
  </si>
  <si>
    <t>Marková</t>
  </si>
  <si>
    <t>Kateřina</t>
  </si>
  <si>
    <t>Pospíšilová</t>
  </si>
  <si>
    <t>Helena</t>
  </si>
  <si>
    <t>Hájková</t>
  </si>
  <si>
    <t>Ludmila</t>
  </si>
  <si>
    <t>Jelínková</t>
  </si>
  <si>
    <t>Jitka</t>
  </si>
  <si>
    <t>Králová</t>
  </si>
  <si>
    <t>Jarmila</t>
  </si>
  <si>
    <t>Růžičková</t>
  </si>
  <si>
    <t>Veronika</t>
  </si>
  <si>
    <t>Benešová</t>
  </si>
  <si>
    <t>Martina</t>
  </si>
  <si>
    <t>Fialová</t>
  </si>
  <si>
    <t>Jiřina</t>
  </si>
  <si>
    <t>Sedláčková</t>
  </si>
  <si>
    <t>Michaela</t>
  </si>
  <si>
    <t>Doležalová</t>
  </si>
  <si>
    <t>Tereza</t>
  </si>
  <si>
    <t>Zemanová</t>
  </si>
  <si>
    <t>Vlasta</t>
  </si>
  <si>
    <t>Monika</t>
  </si>
  <si>
    <t>Nguyen Thi</t>
  </si>
  <si>
    <t>Zuzana</t>
  </si>
  <si>
    <t>Nguyenová</t>
  </si>
  <si>
    <t>Markéta</t>
  </si>
  <si>
    <t>Kolářová</t>
  </si>
  <si>
    <t>Marcela</t>
  </si>
  <si>
    <t>Krejčová</t>
  </si>
  <si>
    <t>Dagmar</t>
  </si>
  <si>
    <t>Božena</t>
  </si>
  <si>
    <t>Navrátilová</t>
  </si>
  <si>
    <t>Libuše</t>
  </si>
  <si>
    <t>Čermáková</t>
  </si>
  <si>
    <t>Dana</t>
  </si>
  <si>
    <t>Urbanová</t>
  </si>
  <si>
    <t>Růžena</t>
  </si>
  <si>
    <t>Vaňková</t>
  </si>
  <si>
    <t>Marta</t>
  </si>
  <si>
    <t>Blažková</t>
  </si>
  <si>
    <t>Barbora</t>
  </si>
  <si>
    <t>Křížová</t>
  </si>
  <si>
    <t>Miroslava</t>
  </si>
  <si>
    <t>Kratochvílová</t>
  </si>
  <si>
    <t>Eliška</t>
  </si>
  <si>
    <t>Kovářová</t>
  </si>
  <si>
    <t>Irena</t>
  </si>
  <si>
    <t>Kopecká</t>
  </si>
  <si>
    <t>Kristýna</t>
  </si>
  <si>
    <t>Bartošová</t>
  </si>
  <si>
    <t>Pavla</t>
  </si>
  <si>
    <t>Vlčková</t>
  </si>
  <si>
    <t>Olga</t>
  </si>
  <si>
    <t>Musilová</t>
  </si>
  <si>
    <t>Milada</t>
  </si>
  <si>
    <t>Šimková</t>
  </si>
  <si>
    <t>Andrea</t>
  </si>
  <si>
    <t>Iveta</t>
  </si>
  <si>
    <t>Pavlína</t>
  </si>
  <si>
    <t>Šárka</t>
  </si>
  <si>
    <t>Čechová</t>
  </si>
  <si>
    <t>Zdeňka</t>
  </si>
  <si>
    <t>Kadlecová</t>
  </si>
  <si>
    <t>Zdenka</t>
  </si>
  <si>
    <t>Štěpánková</t>
  </si>
  <si>
    <t>Blanka</t>
  </si>
  <si>
    <t>Staňková</t>
  </si>
  <si>
    <t>Nikola</t>
  </si>
  <si>
    <t>Holubová</t>
  </si>
  <si>
    <t>Renata</t>
  </si>
  <si>
    <t>Klasifikace</t>
  </si>
  <si>
    <t>předmět</t>
  </si>
  <si>
    <t>Průměrná známka</t>
  </si>
  <si>
    <t>Prospěch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</si>
  <si>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</si>
  <si>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</si>
  <si>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</si>
  <si>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</si>
  <si>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</si>
  <si>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</si>
  <si>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</si>
  <si>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</si>
  <si>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</si>
  <si>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</si>
  <si>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</si>
  <si>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Igor</t>
  </si>
  <si>
    <t>Zdeněk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</si>
</sst>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1" fillId="2" borderId="8" xfId="0" applyFont="1" applyFill="1" applyBorder="1" applyAlignment="1">
      <alignment horizontal="center" textRotation="90"/>
    </xf>
    <xf numFmtId="0" fontId="1" fillId="2" borderId="9" xfId="0" applyFont="1" applyFill="1" applyBorder="1" applyAlignment="1">
      <alignment horizontal="center" textRotation="90"/>
    </xf>
    <xf numFmtId="0" fontId="1" fillId="2" borderId="10" xfId="0" applyFont="1" applyFill="1" applyBorder="1" applyAlignment="1">
      <alignment horizontal="center" textRotation="90"/>
    </xf>
    <xf numFmtId="0" fontId="1" fillId="2" borderId="11" xfId="0" applyFont="1" applyFill="1" applyBorder="1" applyAlignment="1">
      <alignment horizontal="center" textRotation="90"/>
    </xf>
    <xf numFmtId="0" fontId="1" fillId="0" borderId="1" xfId="0" applyFont="1" applyBorder="1"/>
    <xf numFmtId="0" fontId="3" fillId="0" borderId="2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4" fillId="3" borderId="6" xfId="0" applyFont="1" applyFill="1" applyBorder="1"/>
    <xf numFmtId="0" fontId="1" fillId="0" borderId="17" xfId="0" applyFont="1" applyBorder="1"/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1" fillId="0" borderId="22" xfId="0" applyFont="1" applyBorder="1"/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1" fillId="0" borderId="0" xfId="0" applyFont="1"/>
    <xf numFmtId="2" fontId="0" fillId="0" borderId="0" xfId="0" applyNumberFormat="1"/>
    <xf numFmtId="164" fontId="4" fillId="3" borderId="5" xfId="0" applyNumberFormat="1" applyFont="1" applyFill="1" applyBorder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textRotation="90"/>
    </xf>
    <xf numFmtId="0" fontId="1" fillId="2" borderId="1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textRotation="90"/>
    </xf>
    <xf numFmtId="0" fontId="1" fillId="2" borderId="13" xfId="0" applyFont="1" applyFill="1" applyBorder="1" applyAlignment="1">
      <alignment horizontal="center"/>
    </xf>
    <xf numFmtId="0" fontId="0" fillId="0" borderId="0" xfId="0" applyFill="1"/>
    <xf numFmtId="0" fontId="5" fillId="0" borderId="0" xfId="1" applyFill="1"/>
    <xf numFmtId="0" fontId="6" fillId="0" borderId="0" xfId="2" applyFill="1"/>
  </cellXfs>
  <cellStyles count="3">
    <cellStyle name="Bad" xfId="2" builtinId="27"/>
    <cellStyle name="Neutral" xfId="1" builtinId="28"/>
    <cellStyle name="Normal" xfId="0" builtinId="0"/>
  </cellStyles>
  <dxfs count="7"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8B9A3-8857-4C1C-A6AE-19BD2BDE0D05}" name="Tabulka1" displayName="Tabulka1" ref="A3:I102" totalsRowShown="0">
  <tableColumns count="9">
    <tableColumn id="1" xr3:uid="{95E43CAC-040E-42EB-BB30-93A7ED7BA9E7}" name="Příjmení"/>
    <tableColumn id="2" xr3:uid="{73C768CA-64A3-4E06-A44D-E249FE2BED02}" name="Jméno"/>
    <tableColumn id="3" xr3:uid="{6CE3B931-C5B2-47BD-BAB5-BB8E32643AB0}" name="ČJ"/>
    <tableColumn id="4" xr3:uid="{AA772B2E-5F12-40F0-BA84-68E5D53E0617}" name="AJ"/>
    <tableColumn id="5" xr3:uid="{F5F4E350-6743-4F20-AE45-D4425422B2D4}" name="M"/>
    <tableColumn id="6" xr3:uid="{2542585F-02E6-4E6F-B851-7C1CA0ACA286}" name="Celkem bodů" dataDxfId="6">
      <calculatedColumnFormula>SUM(Tabulka1[[#This Row],[ČJ]:[M]])</calculatedColumnFormula>
    </tableColumn>
    <tableColumn id="7" xr3:uid="{D99380A4-0124-48C9-9F7E-2863C80E9D1D}" name="Průměr" dataDxfId="5">
      <calculatedColumnFormula>AVERAGE(Tabulka1[[#This Row],[ČJ]:[M]])</calculatedColumnFormula>
    </tableColumn>
    <tableColumn id="8" xr3:uid="{5E963BFE-A68A-47D1-B3A1-F7F78C3D0F19}" name="Pořadí" dataDxfId="4">
      <calculatedColumnFormula>RANK(Tabulka1[[#This Row],[Celkem bodů]],Tabulka1[Celkem bodů])</calculatedColumnFormula>
    </tableColumn>
    <tableColumn id="9" xr3:uid="{7073A100-1A9D-4400-AEBE-C4010080F682}" name="Výsledek" dataDxfId="3">
      <calculatedColumnFormula>IF(Tabulka1[[#This Row],[Celkem bodů]]&gt;150,"přijat","nepřijat")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11603C-654A-483D-B032-2F66D52CC926}" name="Tabulka13" displayName="Tabulka13" ref="A3:I102" totalsRowShown="0">
  <tableColumns count="9">
    <tableColumn id="1" xr3:uid="{6A631156-4E07-4CF5-8359-6683E85561E0}" name="Příjmení"/>
    <tableColumn id="2" xr3:uid="{AF23AB08-35F5-4B36-B16E-12CB24F3AF2A}" name="Jméno"/>
    <tableColumn id="3" xr3:uid="{03F1D87B-1FFD-4A4A-98BF-8E0CD09C755A}" name="ČJ"/>
    <tableColumn id="4" xr3:uid="{B0FD0F6C-0E2C-4EEA-8B3F-CFCEA18E7D9B}" name="AJ"/>
    <tableColumn id="5" xr3:uid="{6C5917BA-C888-4A5B-B43A-C209B57AEABA}" name="M"/>
    <tableColumn id="6" xr3:uid="{BEFD8E6A-4182-4BA6-8F27-748936723DFF}" name="Celkem bodů" dataDxfId="2">
      <calculatedColumnFormula>SUM(Tabulka13[[#This Row],[ČJ]:[M]])</calculatedColumnFormula>
    </tableColumn>
    <tableColumn id="7" xr3:uid="{4D154168-6C8E-4EBE-8B3C-3537FED4F995}" name="Průměr" dataDxfId="1">
      <calculatedColumnFormula>AVERAGE(Tabulka13[[#This Row],[ČJ]:[M]])</calculatedColumnFormula>
    </tableColumn>
    <tableColumn id="8" xr3:uid="{D96F2845-5433-4A0C-BEB9-6F62D3C8207E}" name="Pořadí" dataDxfId="0">
      <calculatedColumnFormula>RANK(Tabulka13[[#This Row],[Celkem bodů]],Tabulka13[Celkem bodů])</calculatedColumnFormula>
    </tableColumn>
    <tableColumn id="9" xr3:uid="{A478C783-E875-441D-9578-1FECB898DA5D}" name="Výsledek">
      <calculatedColumnFormula>IF(Tabulka13[[#This Row],[Celkem bodů]]&gt;=150,IF(Tabulka13[[#This Row],[Pořadí]]&lt;=30,"prijat","neprijat"),"neprijat")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056"/>
  <sheetViews>
    <sheetView zoomScale="85" zoomScaleNormal="85" workbookViewId="0">
      <selection activeCell="S110045" activeCellId="1" sqref="O110056 S110045"/>
    </sheetView>
  </sheetViews>
  <sheetFormatPr defaultRowHeight="15"/>
  <cols>
    <col min="1" max="1" width="10.42578125" customWidth="1"/>
    <col min="6" max="6" width="14.85546875" customWidth="1"/>
    <col min="7" max="7" width="9.7109375" style="23" customWidth="1"/>
    <col min="9" max="9" width="11.28515625" customWidth="1"/>
  </cols>
  <sheetData>
    <row r="1" spans="1:9" ht="23.25">
      <c r="A1" s="1" t="s">
        <v>0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23" t="s">
        <v>7</v>
      </c>
      <c r="H3" t="s">
        <v>8</v>
      </c>
      <c r="I3" t="s">
        <v>9</v>
      </c>
    </row>
    <row r="4" spans="1:9">
      <c r="A4" t="s">
        <v>10</v>
      </c>
      <c r="B4" t="s">
        <v>11</v>
      </c>
      <c r="C4">
        <v>97</v>
      </c>
      <c r="D4">
        <v>95</v>
      </c>
      <c r="E4">
        <v>52</v>
      </c>
      <c r="F4">
        <f>SUM(Tabulka1[[#This Row],[ČJ]:[M]])</f>
        <v>244</v>
      </c>
      <c r="G4" s="23">
        <f>AVERAGE(Tabulka1[[#This Row],[ČJ]:[M]])</f>
        <v>81.333333333333329</v>
      </c>
      <c r="H4">
        <f>RANK(Tabulka1[[#This Row],[Celkem bodů]],Tabulka1[Celkem bodů])</f>
        <v>2</v>
      </c>
      <c r="I4" t="str">
        <f>IF(Tabulka1[[#This Row],[Celkem bodů]]&gt;150,"přijat","nepřijat")</f>
        <v>přijat</v>
      </c>
    </row>
    <row r="5" spans="1:9">
      <c r="A5" t="s">
        <v>12</v>
      </c>
      <c r="B5" t="s">
        <v>13</v>
      </c>
      <c r="C5">
        <v>60</v>
      </c>
      <c r="D5">
        <v>3</v>
      </c>
      <c r="E5">
        <v>10</v>
      </c>
      <c r="F5">
        <f>SUM(Tabulka1[[#This Row],[ČJ]:[M]])</f>
        <v>73</v>
      </c>
      <c r="G5" s="23">
        <f>AVERAGE(Tabulka1[[#This Row],[ČJ]:[M]])</f>
        <v>24.333333333333332</v>
      </c>
      <c r="H5">
        <f>RANK(Tabulka1[[#This Row],[Celkem bodů]],Tabulka1[Celkem bodů])</f>
        <v>88</v>
      </c>
      <c r="I5" t="str">
        <f>IF(Tabulka1[[#This Row],[Celkem bodů]]&gt;150,"přijat","nepřijat")</f>
        <v>nepřijat</v>
      </c>
    </row>
    <row r="6" spans="1:9">
      <c r="A6" t="s">
        <v>14</v>
      </c>
      <c r="B6" t="s">
        <v>15</v>
      </c>
      <c r="C6">
        <v>12</v>
      </c>
      <c r="D6">
        <v>31</v>
      </c>
      <c r="E6">
        <v>87</v>
      </c>
      <c r="F6">
        <f>SUM(Tabulka1[[#This Row],[ČJ]:[M]])</f>
        <v>130</v>
      </c>
      <c r="G6" s="23">
        <f>AVERAGE(Tabulka1[[#This Row],[ČJ]:[M]])</f>
        <v>43.333333333333336</v>
      </c>
      <c r="H6">
        <f>RANK(Tabulka1[[#This Row],[Celkem bodů]],Tabulka1[Celkem bodů])</f>
        <v>56</v>
      </c>
      <c r="I6" t="str">
        <f>IF(Tabulka1[[#This Row],[Celkem bodů]]&gt;150,"přijat","nepřijat")</f>
        <v>nepřijat</v>
      </c>
    </row>
    <row r="7" spans="1:9">
      <c r="A7" t="s">
        <v>16</v>
      </c>
      <c r="B7" t="s">
        <v>15</v>
      </c>
      <c r="C7">
        <v>20</v>
      </c>
      <c r="D7">
        <v>84</v>
      </c>
      <c r="E7">
        <v>67</v>
      </c>
      <c r="F7">
        <f>SUM(Tabulka1[[#This Row],[ČJ]:[M]])</f>
        <v>171</v>
      </c>
      <c r="G7" s="23">
        <f>AVERAGE(Tabulka1[[#This Row],[ČJ]:[M]])</f>
        <v>57</v>
      </c>
      <c r="H7">
        <f>RANK(Tabulka1[[#This Row],[Celkem bodů]],Tabulka1[Celkem bodů])</f>
        <v>28</v>
      </c>
      <c r="I7" t="str">
        <f>IF(Tabulka1[[#This Row],[Celkem bodů]]&gt;150,"přijat","nepřijat")</f>
        <v>přijat</v>
      </c>
    </row>
    <row r="8" spans="1:9">
      <c r="A8" t="s">
        <v>17</v>
      </c>
      <c r="B8" t="s">
        <v>18</v>
      </c>
      <c r="C8">
        <v>86</v>
      </c>
      <c r="D8">
        <v>11</v>
      </c>
      <c r="E8">
        <v>98</v>
      </c>
      <c r="F8">
        <f>SUM(Tabulka1[[#This Row],[ČJ]:[M]])</f>
        <v>195</v>
      </c>
      <c r="G8" s="23">
        <f>AVERAGE(Tabulka1[[#This Row],[ČJ]:[M]])</f>
        <v>65</v>
      </c>
      <c r="H8">
        <f>RANK(Tabulka1[[#This Row],[Celkem bodů]],Tabulka1[Celkem bodů])</f>
        <v>11</v>
      </c>
      <c r="I8" t="str">
        <f>IF(Tabulka1[[#This Row],[Celkem bodů]]&gt;150,"přijat","nepřijat")</f>
        <v>přijat</v>
      </c>
    </row>
    <row r="9" spans="1:9">
      <c r="A9" t="s">
        <v>19</v>
      </c>
      <c r="B9" t="s">
        <v>20</v>
      </c>
      <c r="C9">
        <v>86</v>
      </c>
      <c r="D9">
        <v>54</v>
      </c>
      <c r="E9">
        <v>24</v>
      </c>
      <c r="F9">
        <f>SUM(Tabulka1[[#This Row],[ČJ]:[M]])</f>
        <v>164</v>
      </c>
      <c r="G9" s="23">
        <f>AVERAGE(Tabulka1[[#This Row],[ČJ]:[M]])</f>
        <v>54.666666666666664</v>
      </c>
      <c r="H9">
        <f>RANK(Tabulka1[[#This Row],[Celkem bodů]],Tabulka1[Celkem bodů])</f>
        <v>33</v>
      </c>
      <c r="I9" t="str">
        <f>IF(Tabulka1[[#This Row],[Celkem bodů]]&gt;150,"přijat","nepřijat")</f>
        <v>přijat</v>
      </c>
    </row>
    <row r="10" spans="1:9">
      <c r="A10" t="s">
        <v>21</v>
      </c>
      <c r="B10" t="s">
        <v>22</v>
      </c>
      <c r="C10">
        <v>10</v>
      </c>
      <c r="D10">
        <v>17</v>
      </c>
      <c r="E10">
        <v>19</v>
      </c>
      <c r="F10">
        <f>SUM(Tabulka1[[#This Row],[ČJ]:[M]])</f>
        <v>46</v>
      </c>
      <c r="G10" s="23">
        <f>AVERAGE(Tabulka1[[#This Row],[ČJ]:[M]])</f>
        <v>15.333333333333334</v>
      </c>
      <c r="H10">
        <f>RANK(Tabulka1[[#This Row],[Celkem bodů]],Tabulka1[Celkem bodů])</f>
        <v>94</v>
      </c>
      <c r="I10" t="str">
        <f>IF(Tabulka1[[#This Row],[Celkem bodů]]&gt;150,"přijat","nepřijat")</f>
        <v>nepřijat</v>
      </c>
    </row>
    <row r="11" spans="1:9">
      <c r="A11" t="s">
        <v>23</v>
      </c>
      <c r="B11" t="s">
        <v>24</v>
      </c>
      <c r="C11">
        <v>72</v>
      </c>
      <c r="D11">
        <v>48</v>
      </c>
      <c r="E11">
        <v>15</v>
      </c>
      <c r="F11">
        <f>SUM(Tabulka1[[#This Row],[ČJ]:[M]])</f>
        <v>135</v>
      </c>
      <c r="G11" s="23">
        <f>AVERAGE(Tabulka1[[#This Row],[ČJ]:[M]])</f>
        <v>45</v>
      </c>
      <c r="H11">
        <f>RANK(Tabulka1[[#This Row],[Celkem bodů]],Tabulka1[Celkem bodů])</f>
        <v>51</v>
      </c>
      <c r="I11" t="str">
        <f>IF(Tabulka1[[#This Row],[Celkem bodů]]&gt;150,"přijat","nepřijat")</f>
        <v>nepřijat</v>
      </c>
    </row>
    <row r="12" spans="1:9">
      <c r="A12" t="s">
        <v>25</v>
      </c>
      <c r="B12" t="s">
        <v>26</v>
      </c>
      <c r="C12">
        <v>72</v>
      </c>
      <c r="D12">
        <v>36</v>
      </c>
      <c r="E12">
        <v>16</v>
      </c>
      <c r="F12">
        <f>SUM(Tabulka1[[#This Row],[ČJ]:[M]])</f>
        <v>124</v>
      </c>
      <c r="G12" s="23">
        <f>AVERAGE(Tabulka1[[#This Row],[ČJ]:[M]])</f>
        <v>41.333333333333336</v>
      </c>
      <c r="H12">
        <f>RANK(Tabulka1[[#This Row],[Celkem bodů]],Tabulka1[Celkem bodů])</f>
        <v>63</v>
      </c>
      <c r="I12" t="str">
        <f>IF(Tabulka1[[#This Row],[Celkem bodů]]&gt;150,"přijat","nepřijat")</f>
        <v>nepřijat</v>
      </c>
    </row>
    <row r="13" spans="1:9">
      <c r="A13" t="s">
        <v>27</v>
      </c>
      <c r="B13" t="s">
        <v>28</v>
      </c>
      <c r="C13">
        <v>12</v>
      </c>
      <c r="D13">
        <v>18</v>
      </c>
      <c r="E13">
        <v>0</v>
      </c>
      <c r="F13">
        <f>SUM(Tabulka1[[#This Row],[ČJ]:[M]])</f>
        <v>30</v>
      </c>
      <c r="G13" s="23">
        <f>AVERAGE(Tabulka1[[#This Row],[ČJ]:[M]])</f>
        <v>10</v>
      </c>
      <c r="H13">
        <f>RANK(Tabulka1[[#This Row],[Celkem bodů]],Tabulka1[Celkem bodů])</f>
        <v>96</v>
      </c>
      <c r="I13" t="str">
        <f>IF(Tabulka1[[#This Row],[Celkem bodů]]&gt;150,"přijat","nepřijat")</f>
        <v>nepřijat</v>
      </c>
    </row>
    <row r="14" spans="1:9">
      <c r="A14" t="s">
        <v>29</v>
      </c>
      <c r="B14" t="s">
        <v>30</v>
      </c>
      <c r="C14">
        <v>21</v>
      </c>
      <c r="D14">
        <v>0</v>
      </c>
      <c r="E14">
        <v>9</v>
      </c>
      <c r="F14">
        <f>SUM(Tabulka1[[#This Row],[ČJ]:[M]])</f>
        <v>30</v>
      </c>
      <c r="G14" s="23">
        <f>AVERAGE(Tabulka1[[#This Row],[ČJ]:[M]])</f>
        <v>10</v>
      </c>
      <c r="H14">
        <f>RANK(Tabulka1[[#This Row],[Celkem bodů]],Tabulka1[Celkem bodů])</f>
        <v>96</v>
      </c>
      <c r="I14" t="str">
        <f>IF(Tabulka1[[#This Row],[Celkem bodů]]&gt;150,"přijat","nepřijat")</f>
        <v>nepřijat</v>
      </c>
    </row>
    <row r="15" spans="1:9">
      <c r="A15" t="s">
        <v>31</v>
      </c>
      <c r="B15" t="s">
        <v>32</v>
      </c>
      <c r="C15">
        <v>73</v>
      </c>
      <c r="D15">
        <v>70</v>
      </c>
      <c r="E15">
        <v>30</v>
      </c>
      <c r="F15">
        <f>SUM(Tabulka1[[#This Row],[ČJ]:[M]])</f>
        <v>173</v>
      </c>
      <c r="G15" s="23">
        <f>AVERAGE(Tabulka1[[#This Row],[ČJ]:[M]])</f>
        <v>57.666666666666664</v>
      </c>
      <c r="H15">
        <f>RANK(Tabulka1[[#This Row],[Celkem bodů]],Tabulka1[Celkem bodů])</f>
        <v>24</v>
      </c>
      <c r="I15" t="str">
        <f>IF(Tabulka1[[#This Row],[Celkem bodů]]&gt;150,"přijat","nepřijat")</f>
        <v>přijat</v>
      </c>
    </row>
    <row r="16" spans="1:9">
      <c r="A16" t="s">
        <v>33</v>
      </c>
      <c r="B16" t="s">
        <v>34</v>
      </c>
      <c r="C16">
        <v>32</v>
      </c>
      <c r="D16">
        <v>93</v>
      </c>
      <c r="E16">
        <v>41</v>
      </c>
      <c r="F16">
        <f>SUM(Tabulka1[[#This Row],[ČJ]:[M]])</f>
        <v>166</v>
      </c>
      <c r="G16" s="23">
        <f>AVERAGE(Tabulka1[[#This Row],[ČJ]:[M]])</f>
        <v>55.333333333333336</v>
      </c>
      <c r="H16">
        <f>RANK(Tabulka1[[#This Row],[Celkem bodů]],Tabulka1[Celkem bodů])</f>
        <v>31</v>
      </c>
      <c r="I16" t="str">
        <f>IF(Tabulka1[[#This Row],[Celkem bodů]]&gt;150,"přijat","nepřijat")</f>
        <v>přijat</v>
      </c>
    </row>
    <row r="17" spans="1:9">
      <c r="A17" t="s">
        <v>35</v>
      </c>
      <c r="B17" t="s">
        <v>36</v>
      </c>
      <c r="C17">
        <v>83</v>
      </c>
      <c r="D17">
        <v>12</v>
      </c>
      <c r="E17">
        <v>30</v>
      </c>
      <c r="F17">
        <f>SUM(Tabulka1[[#This Row],[ČJ]:[M]])</f>
        <v>125</v>
      </c>
      <c r="G17" s="23">
        <f>AVERAGE(Tabulka1[[#This Row],[ČJ]:[M]])</f>
        <v>41.666666666666664</v>
      </c>
      <c r="H17">
        <f>RANK(Tabulka1[[#This Row],[Celkem bodů]],Tabulka1[Celkem bodů])</f>
        <v>61</v>
      </c>
      <c r="I17" t="str">
        <f>IF(Tabulka1[[#This Row],[Celkem bodů]]&gt;150,"přijat","nepřijat")</f>
        <v>nepřijat</v>
      </c>
    </row>
    <row r="18" spans="1:9">
      <c r="A18" t="s">
        <v>37</v>
      </c>
      <c r="B18" t="s">
        <v>38</v>
      </c>
      <c r="C18">
        <v>5</v>
      </c>
      <c r="D18">
        <v>23</v>
      </c>
      <c r="E18">
        <v>28</v>
      </c>
      <c r="F18">
        <f>SUM(Tabulka1[[#This Row],[ČJ]:[M]])</f>
        <v>56</v>
      </c>
      <c r="G18" s="23">
        <f>AVERAGE(Tabulka1[[#This Row],[ČJ]:[M]])</f>
        <v>18.666666666666668</v>
      </c>
      <c r="H18">
        <f>RANK(Tabulka1[[#This Row],[Celkem bodů]],Tabulka1[Celkem bodů])</f>
        <v>92</v>
      </c>
      <c r="I18" t="str">
        <f>IF(Tabulka1[[#This Row],[Celkem bodů]]&gt;150,"přijat","nepřijat")</f>
        <v>nepřijat</v>
      </c>
    </row>
    <row r="19" spans="1:9">
      <c r="A19" t="s">
        <v>39</v>
      </c>
      <c r="B19" t="s">
        <v>40</v>
      </c>
      <c r="C19">
        <v>8</v>
      </c>
      <c r="D19">
        <v>1</v>
      </c>
      <c r="E19">
        <v>16</v>
      </c>
      <c r="F19">
        <f>SUM(Tabulka1[[#This Row],[ČJ]:[M]])</f>
        <v>25</v>
      </c>
      <c r="G19" s="23">
        <f>AVERAGE(Tabulka1[[#This Row],[ČJ]:[M]])</f>
        <v>8.3333333333333339</v>
      </c>
      <c r="H19">
        <f>RANK(Tabulka1[[#This Row],[Celkem bodů]],Tabulka1[Celkem bodů])</f>
        <v>98</v>
      </c>
      <c r="I19" t="str">
        <f>IF(Tabulka1[[#This Row],[Celkem bodů]]&gt;150,"přijat","nepřijat")</f>
        <v>nepřijat</v>
      </c>
    </row>
    <row r="20" spans="1:9">
      <c r="A20" t="s">
        <v>41</v>
      </c>
      <c r="B20" t="s">
        <v>42</v>
      </c>
      <c r="C20">
        <v>36</v>
      </c>
      <c r="D20">
        <v>86</v>
      </c>
      <c r="E20">
        <v>13</v>
      </c>
      <c r="F20">
        <f>SUM(Tabulka1[[#This Row],[ČJ]:[M]])</f>
        <v>135</v>
      </c>
      <c r="G20" s="23">
        <f>AVERAGE(Tabulka1[[#This Row],[ČJ]:[M]])</f>
        <v>45</v>
      </c>
      <c r="H20">
        <f>RANK(Tabulka1[[#This Row],[Celkem bodů]],Tabulka1[Celkem bodů])</f>
        <v>51</v>
      </c>
      <c r="I20" t="str">
        <f>IF(Tabulka1[[#This Row],[Celkem bodů]]&gt;150,"přijat","nepřijat")</f>
        <v>nepřijat</v>
      </c>
    </row>
    <row r="21" spans="1:9">
      <c r="A21" t="s">
        <v>43</v>
      </c>
      <c r="B21" t="s">
        <v>44</v>
      </c>
      <c r="C21">
        <v>92</v>
      </c>
      <c r="D21">
        <v>57</v>
      </c>
      <c r="E21">
        <v>60</v>
      </c>
      <c r="F21">
        <f>SUM(Tabulka1[[#This Row],[ČJ]:[M]])</f>
        <v>209</v>
      </c>
      <c r="G21" s="23">
        <f>AVERAGE(Tabulka1[[#This Row],[ČJ]:[M]])</f>
        <v>69.666666666666671</v>
      </c>
      <c r="H21">
        <f>RANK(Tabulka1[[#This Row],[Celkem bodů]],Tabulka1[Celkem bodů])</f>
        <v>8</v>
      </c>
      <c r="I21" t="str">
        <f>IF(Tabulka1[[#This Row],[Celkem bodů]]&gt;150,"přijat","nepřijat")</f>
        <v>přijat</v>
      </c>
    </row>
    <row r="22" spans="1:9">
      <c r="A22" t="s">
        <v>45</v>
      </c>
      <c r="B22" t="s">
        <v>46</v>
      </c>
      <c r="C22">
        <v>60</v>
      </c>
      <c r="D22">
        <v>57</v>
      </c>
      <c r="E22">
        <v>0</v>
      </c>
      <c r="F22">
        <f>SUM(Tabulka1[[#This Row],[ČJ]:[M]])</f>
        <v>117</v>
      </c>
      <c r="G22" s="23">
        <f>AVERAGE(Tabulka1[[#This Row],[ČJ]:[M]])</f>
        <v>39</v>
      </c>
      <c r="H22">
        <f>RANK(Tabulka1[[#This Row],[Celkem bodů]],Tabulka1[Celkem bodů])</f>
        <v>66</v>
      </c>
      <c r="I22" t="str">
        <f>IF(Tabulka1[[#This Row],[Celkem bodů]]&gt;150,"přijat","nepřijat")</f>
        <v>nepřijat</v>
      </c>
    </row>
    <row r="23" spans="1:9">
      <c r="A23" t="s">
        <v>47</v>
      </c>
      <c r="B23" t="s">
        <v>48</v>
      </c>
      <c r="C23">
        <v>66</v>
      </c>
      <c r="D23">
        <v>75</v>
      </c>
      <c r="E23">
        <v>85</v>
      </c>
      <c r="F23">
        <f>SUM(Tabulka1[[#This Row],[ČJ]:[M]])</f>
        <v>226</v>
      </c>
      <c r="G23" s="23">
        <f>AVERAGE(Tabulka1[[#This Row],[ČJ]:[M]])</f>
        <v>75.333333333333329</v>
      </c>
      <c r="H23">
        <f>RANK(Tabulka1[[#This Row],[Celkem bodů]],Tabulka1[Celkem bodů])</f>
        <v>4</v>
      </c>
      <c r="I23" t="str">
        <f>IF(Tabulka1[[#This Row],[Celkem bodů]]&gt;150,"přijat","nepřijat")</f>
        <v>přijat</v>
      </c>
    </row>
    <row r="24" spans="1:9">
      <c r="A24" t="s">
        <v>49</v>
      </c>
      <c r="B24" t="s">
        <v>50</v>
      </c>
      <c r="C24">
        <v>19</v>
      </c>
      <c r="D24">
        <v>2</v>
      </c>
      <c r="E24">
        <v>30</v>
      </c>
      <c r="F24">
        <f>SUM(Tabulka1[[#This Row],[ČJ]:[M]])</f>
        <v>51</v>
      </c>
      <c r="G24" s="23">
        <f>AVERAGE(Tabulka1[[#This Row],[ČJ]:[M]])</f>
        <v>17</v>
      </c>
      <c r="H24">
        <f>RANK(Tabulka1[[#This Row],[Celkem bodů]],Tabulka1[Celkem bodů])</f>
        <v>93</v>
      </c>
      <c r="I24" t="str">
        <f>IF(Tabulka1[[#This Row],[Celkem bodů]]&gt;150,"přijat","nepřijat")</f>
        <v>nepřijat</v>
      </c>
    </row>
    <row r="25" spans="1:9">
      <c r="A25" t="s">
        <v>51</v>
      </c>
      <c r="B25" t="s">
        <v>52</v>
      </c>
      <c r="C25">
        <v>63</v>
      </c>
      <c r="D25">
        <v>14</v>
      </c>
      <c r="E25">
        <v>11</v>
      </c>
      <c r="F25">
        <f>SUM(Tabulka1[[#This Row],[ČJ]:[M]])</f>
        <v>88</v>
      </c>
      <c r="G25" s="23">
        <f>AVERAGE(Tabulka1[[#This Row],[ČJ]:[M]])</f>
        <v>29.333333333333332</v>
      </c>
      <c r="H25">
        <f>RANK(Tabulka1[[#This Row],[Celkem bodů]],Tabulka1[Celkem bodů])</f>
        <v>86</v>
      </c>
      <c r="I25" t="str">
        <f>IF(Tabulka1[[#This Row],[Celkem bodů]]&gt;150,"přijat","nepřijat")</f>
        <v>nepřijat</v>
      </c>
    </row>
    <row r="26" spans="1:9">
      <c r="A26" t="s">
        <v>53</v>
      </c>
      <c r="B26" t="s">
        <v>54</v>
      </c>
      <c r="C26">
        <v>53</v>
      </c>
      <c r="D26">
        <v>70</v>
      </c>
      <c r="E26">
        <v>70</v>
      </c>
      <c r="F26">
        <f>SUM(Tabulka1[[#This Row],[ČJ]:[M]])</f>
        <v>193</v>
      </c>
      <c r="G26" s="23">
        <f>AVERAGE(Tabulka1[[#This Row],[ČJ]:[M]])</f>
        <v>64.333333333333329</v>
      </c>
      <c r="H26">
        <f>RANK(Tabulka1[[#This Row],[Celkem bodů]],Tabulka1[Celkem bodů])</f>
        <v>13</v>
      </c>
      <c r="I26" t="str">
        <f>IF(Tabulka1[[#This Row],[Celkem bodů]]&gt;150,"přijat","nepřijat")</f>
        <v>přijat</v>
      </c>
    </row>
    <row r="27" spans="1:9">
      <c r="A27" t="s">
        <v>23</v>
      </c>
      <c r="B27" t="s">
        <v>55</v>
      </c>
      <c r="C27">
        <v>3</v>
      </c>
      <c r="D27">
        <v>83</v>
      </c>
      <c r="E27">
        <v>72</v>
      </c>
      <c r="F27">
        <f>SUM(Tabulka1[[#This Row],[ČJ]:[M]])</f>
        <v>158</v>
      </c>
      <c r="G27" s="23">
        <f>AVERAGE(Tabulka1[[#This Row],[ČJ]:[M]])</f>
        <v>52.666666666666664</v>
      </c>
      <c r="H27">
        <f>RANK(Tabulka1[[#This Row],[Celkem bodů]],Tabulka1[Celkem bodů])</f>
        <v>38</v>
      </c>
      <c r="I27" t="str">
        <f>IF(Tabulka1[[#This Row],[Celkem bodů]]&gt;150,"přijat","nepřijat")</f>
        <v>přijat</v>
      </c>
    </row>
    <row r="28" spans="1:9">
      <c r="A28" t="s">
        <v>25</v>
      </c>
      <c r="B28" t="s">
        <v>56</v>
      </c>
      <c r="C28">
        <v>63</v>
      </c>
      <c r="D28">
        <v>15</v>
      </c>
      <c r="E28">
        <v>28</v>
      </c>
      <c r="F28">
        <f>SUM(Tabulka1[[#This Row],[ČJ]:[M]])</f>
        <v>106</v>
      </c>
      <c r="G28" s="23">
        <f>AVERAGE(Tabulka1[[#This Row],[ČJ]:[M]])</f>
        <v>35.333333333333336</v>
      </c>
      <c r="H28">
        <f>RANK(Tabulka1[[#This Row],[Celkem bodů]],Tabulka1[Celkem bodů])</f>
        <v>72</v>
      </c>
      <c r="I28" t="str">
        <f>IF(Tabulka1[[#This Row],[Celkem bodů]]&gt;150,"přijat","nepřijat")</f>
        <v>nepřijat</v>
      </c>
    </row>
    <row r="29" spans="1:9">
      <c r="A29" t="s">
        <v>57</v>
      </c>
      <c r="B29" t="s">
        <v>58</v>
      </c>
      <c r="C29">
        <v>0</v>
      </c>
      <c r="D29">
        <v>28</v>
      </c>
      <c r="E29">
        <v>43</v>
      </c>
      <c r="F29">
        <f>SUM(Tabulka1[[#This Row],[ČJ]:[M]])</f>
        <v>71</v>
      </c>
      <c r="G29" s="23">
        <f>AVERAGE(Tabulka1[[#This Row],[ČJ]:[M]])</f>
        <v>23.666666666666668</v>
      </c>
      <c r="H29">
        <f>RANK(Tabulka1[[#This Row],[Celkem bodů]],Tabulka1[Celkem bodů])</f>
        <v>89</v>
      </c>
      <c r="I29" t="str">
        <f>IF(Tabulka1[[#This Row],[Celkem bodů]]&gt;150,"přijat","nepřijat")</f>
        <v>nepřijat</v>
      </c>
    </row>
    <row r="30" spans="1:9">
      <c r="A30" t="s">
        <v>59</v>
      </c>
      <c r="B30" t="s">
        <v>31</v>
      </c>
      <c r="C30">
        <v>87</v>
      </c>
      <c r="D30">
        <v>82</v>
      </c>
      <c r="E30">
        <v>12</v>
      </c>
      <c r="F30">
        <f>SUM(Tabulka1[[#This Row],[ČJ]:[M]])</f>
        <v>181</v>
      </c>
      <c r="G30" s="23">
        <f>AVERAGE(Tabulka1[[#This Row],[ČJ]:[M]])</f>
        <v>60.333333333333336</v>
      </c>
      <c r="H30">
        <f>RANK(Tabulka1[[#This Row],[Celkem bodů]],Tabulka1[Celkem bodů])</f>
        <v>17</v>
      </c>
      <c r="I30" t="str">
        <f>IF(Tabulka1[[#This Row],[Celkem bodů]]&gt;150,"přijat","nepřijat")</f>
        <v>přijat</v>
      </c>
    </row>
    <row r="31" spans="1:9">
      <c r="A31" t="s">
        <v>16</v>
      </c>
      <c r="B31" t="s">
        <v>60</v>
      </c>
      <c r="C31">
        <v>11</v>
      </c>
      <c r="D31">
        <v>94</v>
      </c>
      <c r="E31">
        <v>13</v>
      </c>
      <c r="F31">
        <f>SUM(Tabulka1[[#This Row],[ČJ]:[M]])</f>
        <v>118</v>
      </c>
      <c r="G31" s="23">
        <f>AVERAGE(Tabulka1[[#This Row],[ČJ]:[M]])</f>
        <v>39.333333333333336</v>
      </c>
      <c r="H31">
        <f>RANK(Tabulka1[[#This Row],[Celkem bodů]],Tabulka1[Celkem bodů])</f>
        <v>65</v>
      </c>
      <c r="I31" t="str">
        <f>IF(Tabulka1[[#This Row],[Celkem bodů]]&gt;150,"přijat","nepřijat")</f>
        <v>nepřijat</v>
      </c>
    </row>
    <row r="32" spans="1:9">
      <c r="A32" t="s">
        <v>61</v>
      </c>
      <c r="B32" t="s">
        <v>62</v>
      </c>
      <c r="C32">
        <v>73</v>
      </c>
      <c r="D32">
        <v>0</v>
      </c>
      <c r="E32">
        <v>7</v>
      </c>
      <c r="F32">
        <f>SUM(Tabulka1[[#This Row],[ČJ]:[M]])</f>
        <v>80</v>
      </c>
      <c r="G32" s="23">
        <f>AVERAGE(Tabulka1[[#This Row],[ČJ]:[M]])</f>
        <v>26.666666666666668</v>
      </c>
      <c r="H32">
        <f>RANK(Tabulka1[[#This Row],[Celkem bodů]],Tabulka1[Celkem bodů])</f>
        <v>87</v>
      </c>
      <c r="I32" t="str">
        <f>IF(Tabulka1[[#This Row],[Celkem bodů]]&gt;150,"přijat","nepřijat")</f>
        <v>nepřijat</v>
      </c>
    </row>
    <row r="33" spans="1:9">
      <c r="A33" t="s">
        <v>63</v>
      </c>
      <c r="B33" t="s">
        <v>62</v>
      </c>
      <c r="C33">
        <v>56</v>
      </c>
      <c r="D33">
        <v>5</v>
      </c>
      <c r="E33">
        <v>94</v>
      </c>
      <c r="F33">
        <f>SUM(Tabulka1[[#This Row],[ČJ]:[M]])</f>
        <v>155</v>
      </c>
      <c r="G33" s="23">
        <f>AVERAGE(Tabulka1[[#This Row],[ČJ]:[M]])</f>
        <v>51.666666666666664</v>
      </c>
      <c r="H33">
        <f>RANK(Tabulka1[[#This Row],[Celkem bodů]],Tabulka1[Celkem bodů])</f>
        <v>39</v>
      </c>
      <c r="I33" t="str">
        <f>IF(Tabulka1[[#This Row],[Celkem bodů]]&gt;150,"přijat","nepřijat")</f>
        <v>přijat</v>
      </c>
    </row>
    <row r="34" spans="1:9">
      <c r="A34" t="s">
        <v>64</v>
      </c>
      <c r="B34" t="s">
        <v>65</v>
      </c>
      <c r="C34">
        <v>39</v>
      </c>
      <c r="D34">
        <v>57</v>
      </c>
      <c r="E34">
        <v>10</v>
      </c>
      <c r="F34">
        <f>SUM(Tabulka1[[#This Row],[ČJ]:[M]])</f>
        <v>106</v>
      </c>
      <c r="G34" s="23">
        <f>AVERAGE(Tabulka1[[#This Row],[ČJ]:[M]])</f>
        <v>35.333333333333336</v>
      </c>
      <c r="H34">
        <f>RANK(Tabulka1[[#This Row],[Celkem bodů]],Tabulka1[Celkem bodů])</f>
        <v>72</v>
      </c>
      <c r="I34" t="str">
        <f>IF(Tabulka1[[#This Row],[Celkem bodů]]&gt;150,"přijat","nepřijat")</f>
        <v>nepřijat</v>
      </c>
    </row>
    <row r="35" spans="1:9">
      <c r="A35" t="s">
        <v>66</v>
      </c>
      <c r="B35" t="s">
        <v>67</v>
      </c>
      <c r="C35">
        <v>22</v>
      </c>
      <c r="D35">
        <v>44</v>
      </c>
      <c r="E35">
        <v>99</v>
      </c>
      <c r="F35">
        <f>SUM(Tabulka1[[#This Row],[ČJ]:[M]])</f>
        <v>165</v>
      </c>
      <c r="G35" s="23">
        <f>AVERAGE(Tabulka1[[#This Row],[ČJ]:[M]])</f>
        <v>55</v>
      </c>
      <c r="H35">
        <f>RANK(Tabulka1[[#This Row],[Celkem bodů]],Tabulka1[Celkem bodů])</f>
        <v>32</v>
      </c>
      <c r="I35" t="str">
        <f>IF(Tabulka1[[#This Row],[Celkem bodů]]&gt;150,"přijat","nepřijat")</f>
        <v>přijat</v>
      </c>
    </row>
    <row r="36" spans="1:9">
      <c r="A36" t="s">
        <v>68</v>
      </c>
      <c r="B36" t="s">
        <v>69</v>
      </c>
      <c r="C36">
        <v>56</v>
      </c>
      <c r="D36">
        <v>41</v>
      </c>
      <c r="E36">
        <v>95</v>
      </c>
      <c r="F36">
        <f>SUM(Tabulka1[[#This Row],[ČJ]:[M]])</f>
        <v>192</v>
      </c>
      <c r="G36" s="23">
        <f>AVERAGE(Tabulka1[[#This Row],[ČJ]:[M]])</f>
        <v>64</v>
      </c>
      <c r="H36">
        <f>RANK(Tabulka1[[#This Row],[Celkem bodů]],Tabulka1[Celkem bodů])</f>
        <v>14</v>
      </c>
      <c r="I36" t="str">
        <f>IF(Tabulka1[[#This Row],[Celkem bodů]]&gt;150,"přijat","nepřijat")</f>
        <v>přijat</v>
      </c>
    </row>
    <row r="37" spans="1:9">
      <c r="A37" t="s">
        <v>70</v>
      </c>
      <c r="B37" t="s">
        <v>71</v>
      </c>
      <c r="C37">
        <v>59</v>
      </c>
      <c r="D37">
        <v>64</v>
      </c>
      <c r="E37">
        <v>17</v>
      </c>
      <c r="F37">
        <f>SUM(Tabulka1[[#This Row],[ČJ]:[M]])</f>
        <v>140</v>
      </c>
      <c r="G37" s="23">
        <f>AVERAGE(Tabulka1[[#This Row],[ČJ]:[M]])</f>
        <v>46.666666666666664</v>
      </c>
      <c r="H37">
        <f>RANK(Tabulka1[[#This Row],[Celkem bodů]],Tabulka1[Celkem bodů])</f>
        <v>47</v>
      </c>
      <c r="I37" t="str">
        <f>IF(Tabulka1[[#This Row],[Celkem bodů]]&gt;150,"přijat","nepřijat")</f>
        <v>nepřijat</v>
      </c>
    </row>
    <row r="38" spans="1:9">
      <c r="A38" t="s">
        <v>72</v>
      </c>
      <c r="B38" t="s">
        <v>73</v>
      </c>
      <c r="C38">
        <v>21</v>
      </c>
      <c r="D38">
        <v>23</v>
      </c>
      <c r="E38">
        <v>51</v>
      </c>
      <c r="F38">
        <f>SUM(Tabulka1[[#This Row],[ČJ]:[M]])</f>
        <v>95</v>
      </c>
      <c r="G38" s="23">
        <f>AVERAGE(Tabulka1[[#This Row],[ČJ]:[M]])</f>
        <v>31.666666666666668</v>
      </c>
      <c r="H38">
        <f>RANK(Tabulka1[[#This Row],[Celkem bodů]],Tabulka1[Celkem bodů])</f>
        <v>83</v>
      </c>
      <c r="I38" t="str">
        <f>IF(Tabulka1[[#This Row],[Celkem bodů]]&gt;150,"přijat","nepřijat")</f>
        <v>nepřijat</v>
      </c>
    </row>
    <row r="39" spans="1:9">
      <c r="A39" t="s">
        <v>74</v>
      </c>
      <c r="B39" t="s">
        <v>75</v>
      </c>
      <c r="C39">
        <v>23</v>
      </c>
      <c r="D39">
        <v>32</v>
      </c>
      <c r="E39">
        <v>5</v>
      </c>
      <c r="F39">
        <f>SUM(Tabulka1[[#This Row],[ČJ]:[M]])</f>
        <v>60</v>
      </c>
      <c r="G39" s="23">
        <f>AVERAGE(Tabulka1[[#This Row],[ČJ]:[M]])</f>
        <v>20</v>
      </c>
      <c r="H39">
        <f>RANK(Tabulka1[[#This Row],[Celkem bodů]],Tabulka1[Celkem bodů])</f>
        <v>91</v>
      </c>
      <c r="I39" t="str">
        <f>IF(Tabulka1[[#This Row],[Celkem bodů]]&gt;150,"přijat","nepřijat")</f>
        <v>nepřijat</v>
      </c>
    </row>
    <row r="40" spans="1:9">
      <c r="A40" t="s">
        <v>76</v>
      </c>
      <c r="B40" t="s">
        <v>77</v>
      </c>
      <c r="C40">
        <v>37</v>
      </c>
      <c r="D40">
        <v>95</v>
      </c>
      <c r="E40">
        <v>2</v>
      </c>
      <c r="F40">
        <f>SUM(Tabulka1[[#This Row],[ČJ]:[M]])</f>
        <v>134</v>
      </c>
      <c r="G40" s="23">
        <f>AVERAGE(Tabulka1[[#This Row],[ČJ]:[M]])</f>
        <v>44.666666666666664</v>
      </c>
      <c r="H40">
        <f>RANK(Tabulka1[[#This Row],[Celkem bodů]],Tabulka1[Celkem bodů])</f>
        <v>53</v>
      </c>
      <c r="I40" t="str">
        <f>IF(Tabulka1[[#This Row],[Celkem bodů]]&gt;150,"přijat","nepřijat")</f>
        <v>nepřijat</v>
      </c>
    </row>
    <row r="41" spans="1:9">
      <c r="A41" t="s">
        <v>78</v>
      </c>
      <c r="B41" t="s">
        <v>79</v>
      </c>
      <c r="C41">
        <v>13</v>
      </c>
      <c r="D41">
        <v>81</v>
      </c>
      <c r="E41">
        <v>53</v>
      </c>
      <c r="F41">
        <f>SUM(Tabulka1[[#This Row],[ČJ]:[M]])</f>
        <v>147</v>
      </c>
      <c r="G41" s="23">
        <f>AVERAGE(Tabulka1[[#This Row],[ČJ]:[M]])</f>
        <v>49</v>
      </c>
      <c r="H41">
        <f>RANK(Tabulka1[[#This Row],[Celkem bodů]],Tabulka1[Celkem bodů])</f>
        <v>44</v>
      </c>
      <c r="I41" t="str">
        <f>IF(Tabulka1[[#This Row],[Celkem bodů]]&gt;150,"přijat","nepřijat")</f>
        <v>nepřijat</v>
      </c>
    </row>
    <row r="42" spans="1:9">
      <c r="A42" t="s">
        <v>80</v>
      </c>
      <c r="B42" t="s">
        <v>81</v>
      </c>
      <c r="C42">
        <v>37</v>
      </c>
      <c r="D42">
        <v>86</v>
      </c>
      <c r="E42">
        <v>47</v>
      </c>
      <c r="F42">
        <f>SUM(Tabulka1[[#This Row],[ČJ]:[M]])</f>
        <v>170</v>
      </c>
      <c r="G42" s="23">
        <f>AVERAGE(Tabulka1[[#This Row],[ČJ]:[M]])</f>
        <v>56.666666666666664</v>
      </c>
      <c r="H42">
        <f>RANK(Tabulka1[[#This Row],[Celkem bodů]],Tabulka1[Celkem bodů])</f>
        <v>29</v>
      </c>
      <c r="I42" t="str">
        <f>IF(Tabulka1[[#This Row],[Celkem bodů]]&gt;150,"přijat","nepřijat")</f>
        <v>přijat</v>
      </c>
    </row>
    <row r="43" spans="1:9">
      <c r="A43" t="s">
        <v>82</v>
      </c>
      <c r="B43" t="s">
        <v>83</v>
      </c>
      <c r="C43">
        <v>88</v>
      </c>
      <c r="D43">
        <v>67</v>
      </c>
      <c r="E43">
        <v>17</v>
      </c>
      <c r="F43">
        <f>SUM(Tabulka1[[#This Row],[ČJ]:[M]])</f>
        <v>172</v>
      </c>
      <c r="G43" s="23">
        <f>AVERAGE(Tabulka1[[#This Row],[ČJ]:[M]])</f>
        <v>57.333333333333336</v>
      </c>
      <c r="H43">
        <f>RANK(Tabulka1[[#This Row],[Celkem bodů]],Tabulka1[Celkem bodů])</f>
        <v>26</v>
      </c>
      <c r="I43" t="str">
        <f>IF(Tabulka1[[#This Row],[Celkem bodů]]&gt;150,"přijat","nepřijat")</f>
        <v>přijat</v>
      </c>
    </row>
    <row r="44" spans="1:9">
      <c r="A44" t="s">
        <v>84</v>
      </c>
      <c r="B44" t="s">
        <v>85</v>
      </c>
      <c r="C44">
        <v>59</v>
      </c>
      <c r="D44">
        <v>66</v>
      </c>
      <c r="E44">
        <v>25</v>
      </c>
      <c r="F44">
        <f>SUM(Tabulka1[[#This Row],[ČJ]:[M]])</f>
        <v>150</v>
      </c>
      <c r="G44" s="23">
        <f>AVERAGE(Tabulka1[[#This Row],[ČJ]:[M]])</f>
        <v>50</v>
      </c>
      <c r="H44">
        <f>RANK(Tabulka1[[#This Row],[Celkem bodů]],Tabulka1[Celkem bodů])</f>
        <v>41</v>
      </c>
      <c r="I44" t="str">
        <f>IF(Tabulka1[[#This Row],[Celkem bodů]]&gt;150,"přijat","nepřijat")</f>
        <v>nepřijat</v>
      </c>
    </row>
    <row r="45" spans="1:9">
      <c r="A45" t="s">
        <v>86</v>
      </c>
      <c r="B45" t="s">
        <v>87</v>
      </c>
      <c r="C45">
        <v>20</v>
      </c>
      <c r="D45">
        <v>59</v>
      </c>
      <c r="E45">
        <v>55</v>
      </c>
      <c r="F45">
        <f>SUM(Tabulka1[[#This Row],[ČJ]:[M]])</f>
        <v>134</v>
      </c>
      <c r="G45" s="23">
        <f>AVERAGE(Tabulka1[[#This Row],[ČJ]:[M]])</f>
        <v>44.666666666666664</v>
      </c>
      <c r="H45">
        <f>RANK(Tabulka1[[#This Row],[Celkem bodů]],Tabulka1[Celkem bodů])</f>
        <v>53</v>
      </c>
      <c r="I45" t="str">
        <f>IF(Tabulka1[[#This Row],[Celkem bodů]]&gt;150,"přijat","nepřijat")</f>
        <v>nepřijat</v>
      </c>
    </row>
    <row r="46" spans="1:9">
      <c r="A46" t="s">
        <v>88</v>
      </c>
      <c r="B46" t="s">
        <v>89</v>
      </c>
      <c r="C46">
        <v>55</v>
      </c>
      <c r="D46">
        <v>76</v>
      </c>
      <c r="E46">
        <v>48</v>
      </c>
      <c r="F46">
        <f>SUM(Tabulka1[[#This Row],[ČJ]:[M]])</f>
        <v>179</v>
      </c>
      <c r="G46" s="23">
        <f>AVERAGE(Tabulka1[[#This Row],[ČJ]:[M]])</f>
        <v>59.666666666666664</v>
      </c>
      <c r="H46">
        <f>RANK(Tabulka1[[#This Row],[Celkem bodů]],Tabulka1[Celkem bodů])</f>
        <v>18</v>
      </c>
      <c r="I46" t="str">
        <f>IF(Tabulka1[[#This Row],[Celkem bodů]]&gt;150,"přijat","nepřijat")</f>
        <v>přijat</v>
      </c>
    </row>
    <row r="47" spans="1:9">
      <c r="A47" t="s">
        <v>90</v>
      </c>
      <c r="B47" t="s">
        <v>91</v>
      </c>
      <c r="C47">
        <v>35</v>
      </c>
      <c r="D47">
        <v>77</v>
      </c>
      <c r="E47">
        <v>35</v>
      </c>
      <c r="F47">
        <f>SUM(Tabulka1[[#This Row],[ČJ]:[M]])</f>
        <v>147</v>
      </c>
      <c r="G47" s="23">
        <f>AVERAGE(Tabulka1[[#This Row],[ČJ]:[M]])</f>
        <v>49</v>
      </c>
      <c r="H47">
        <f>RANK(Tabulka1[[#This Row],[Celkem bodů]],Tabulka1[Celkem bodů])</f>
        <v>44</v>
      </c>
      <c r="I47" t="str">
        <f>IF(Tabulka1[[#This Row],[Celkem bodů]]&gt;150,"přijat","nepřijat")</f>
        <v>nepřijat</v>
      </c>
    </row>
    <row r="48" spans="1:9">
      <c r="A48" t="s">
        <v>92</v>
      </c>
      <c r="B48" t="s">
        <v>93</v>
      </c>
      <c r="C48">
        <v>86</v>
      </c>
      <c r="D48">
        <v>10</v>
      </c>
      <c r="E48">
        <v>83</v>
      </c>
      <c r="F48">
        <f>SUM(Tabulka1[[#This Row],[ČJ]:[M]])</f>
        <v>179</v>
      </c>
      <c r="G48" s="23">
        <f>AVERAGE(Tabulka1[[#This Row],[ČJ]:[M]])</f>
        <v>59.666666666666664</v>
      </c>
      <c r="H48">
        <f>RANK(Tabulka1[[#This Row],[Celkem bodů]],Tabulka1[Celkem bodů])</f>
        <v>18</v>
      </c>
      <c r="I48" t="str">
        <f>IF(Tabulka1[[#This Row],[Celkem bodů]]&gt;150,"přijat","nepřijat")</f>
        <v>přijat</v>
      </c>
    </row>
    <row r="49" spans="1:9">
      <c r="A49" t="s">
        <v>94</v>
      </c>
      <c r="B49" t="s">
        <v>95</v>
      </c>
      <c r="C49">
        <v>62</v>
      </c>
      <c r="D49">
        <v>32</v>
      </c>
      <c r="E49">
        <v>31</v>
      </c>
      <c r="F49">
        <f>SUM(Tabulka1[[#This Row],[ČJ]:[M]])</f>
        <v>125</v>
      </c>
      <c r="G49" s="23">
        <f>AVERAGE(Tabulka1[[#This Row],[ČJ]:[M]])</f>
        <v>41.666666666666664</v>
      </c>
      <c r="H49">
        <f>RANK(Tabulka1[[#This Row],[Celkem bodů]],Tabulka1[Celkem bodů])</f>
        <v>61</v>
      </c>
      <c r="I49" t="str">
        <f>IF(Tabulka1[[#This Row],[Celkem bodů]]&gt;150,"přijat","nepřijat")</f>
        <v>nepřijat</v>
      </c>
    </row>
    <row r="50" spans="1:9">
      <c r="A50" t="s">
        <v>96</v>
      </c>
      <c r="B50" t="s">
        <v>97</v>
      </c>
      <c r="C50">
        <v>62</v>
      </c>
      <c r="D50">
        <v>99</v>
      </c>
      <c r="E50">
        <v>92</v>
      </c>
      <c r="F50">
        <f>SUM(Tabulka1[[#This Row],[ČJ]:[M]])</f>
        <v>253</v>
      </c>
      <c r="G50" s="23">
        <f>AVERAGE(Tabulka1[[#This Row],[ČJ]:[M]])</f>
        <v>84.333333333333329</v>
      </c>
      <c r="H50">
        <f>RANK(Tabulka1[[#This Row],[Celkem bodů]],Tabulka1[Celkem bodů])</f>
        <v>1</v>
      </c>
      <c r="I50" t="str">
        <f>IF(Tabulka1[[#This Row],[Celkem bodů]]&gt;150,"přijat","nepřijat")</f>
        <v>přijat</v>
      </c>
    </row>
    <row r="51" spans="1:9">
      <c r="A51" t="s">
        <v>98</v>
      </c>
      <c r="B51" t="s">
        <v>99</v>
      </c>
      <c r="C51">
        <v>33</v>
      </c>
      <c r="D51">
        <v>76</v>
      </c>
      <c r="E51">
        <v>64</v>
      </c>
      <c r="F51">
        <f>SUM(Tabulka1[[#This Row],[ČJ]:[M]])</f>
        <v>173</v>
      </c>
      <c r="G51" s="23">
        <f>AVERAGE(Tabulka1[[#This Row],[ČJ]:[M]])</f>
        <v>57.666666666666664</v>
      </c>
      <c r="H51">
        <f>RANK(Tabulka1[[#This Row],[Celkem bodů]],Tabulka1[Celkem bodů])</f>
        <v>24</v>
      </c>
      <c r="I51" t="str">
        <f>IF(Tabulka1[[#This Row],[Celkem bodů]]&gt;150,"přijat","nepřijat")</f>
        <v>přijat</v>
      </c>
    </row>
    <row r="52" spans="1:9">
      <c r="A52" t="s">
        <v>100</v>
      </c>
      <c r="B52" t="s">
        <v>101</v>
      </c>
      <c r="C52">
        <v>78</v>
      </c>
      <c r="D52">
        <v>41</v>
      </c>
      <c r="E52">
        <v>2</v>
      </c>
      <c r="F52">
        <f>SUM(Tabulka1[[#This Row],[ČJ]:[M]])</f>
        <v>121</v>
      </c>
      <c r="G52" s="23">
        <f>AVERAGE(Tabulka1[[#This Row],[ČJ]:[M]])</f>
        <v>40.333333333333336</v>
      </c>
      <c r="H52">
        <f>RANK(Tabulka1[[#This Row],[Celkem bodů]],Tabulka1[Celkem bodů])</f>
        <v>64</v>
      </c>
      <c r="I52" t="str">
        <f>IF(Tabulka1[[#This Row],[Celkem bodů]]&gt;150,"přijat","nepřijat")</f>
        <v>nepřijat</v>
      </c>
    </row>
    <row r="53" spans="1:9">
      <c r="A53" t="s">
        <v>102</v>
      </c>
      <c r="B53" t="s">
        <v>103</v>
      </c>
      <c r="C53">
        <v>29</v>
      </c>
      <c r="D53">
        <v>16</v>
      </c>
      <c r="E53">
        <v>56</v>
      </c>
      <c r="F53">
        <f>SUM(Tabulka1[[#This Row],[ČJ]:[M]])</f>
        <v>101</v>
      </c>
      <c r="G53" s="23">
        <f>AVERAGE(Tabulka1[[#This Row],[ČJ]:[M]])</f>
        <v>33.666666666666664</v>
      </c>
      <c r="H53">
        <f>RANK(Tabulka1[[#This Row],[Celkem bodů]],Tabulka1[Celkem bodů])</f>
        <v>79</v>
      </c>
      <c r="I53" t="str">
        <f>IF(Tabulka1[[#This Row],[Celkem bodů]]&gt;150,"přijat","nepřijat")</f>
        <v>nepřijat</v>
      </c>
    </row>
    <row r="54" spans="1:9">
      <c r="A54" t="s">
        <v>104</v>
      </c>
      <c r="B54" t="s">
        <v>105</v>
      </c>
      <c r="C54">
        <v>10</v>
      </c>
      <c r="D54">
        <v>84</v>
      </c>
      <c r="E54">
        <v>34</v>
      </c>
      <c r="F54">
        <f>SUM(Tabulka1[[#This Row],[ČJ]:[M]])</f>
        <v>128</v>
      </c>
      <c r="G54" s="23">
        <f>AVERAGE(Tabulka1[[#This Row],[ČJ]:[M]])</f>
        <v>42.666666666666664</v>
      </c>
      <c r="H54">
        <f>RANK(Tabulka1[[#This Row],[Celkem bodů]],Tabulka1[Celkem bodů])</f>
        <v>58</v>
      </c>
      <c r="I54" t="str">
        <f>IF(Tabulka1[[#This Row],[Celkem bodů]]&gt;150,"přijat","nepřijat")</f>
        <v>nepřijat</v>
      </c>
    </row>
    <row r="55" spans="1:9">
      <c r="A55" t="s">
        <v>106</v>
      </c>
      <c r="B55" t="s">
        <v>107</v>
      </c>
      <c r="C55">
        <v>74</v>
      </c>
      <c r="D55">
        <v>21</v>
      </c>
      <c r="E55">
        <v>77</v>
      </c>
      <c r="F55">
        <f>SUM(Tabulka1[[#This Row],[ČJ]:[M]])</f>
        <v>172</v>
      </c>
      <c r="G55" s="23">
        <f>AVERAGE(Tabulka1[[#This Row],[ČJ]:[M]])</f>
        <v>57.333333333333336</v>
      </c>
      <c r="H55">
        <f>RANK(Tabulka1[[#This Row],[Celkem bodů]],Tabulka1[Celkem bodů])</f>
        <v>26</v>
      </c>
      <c r="I55" t="str">
        <f>IF(Tabulka1[[#This Row],[Celkem bodů]]&gt;150,"přijat","nepřijat")</f>
        <v>přijat</v>
      </c>
    </row>
    <row r="56" spans="1:9">
      <c r="A56" t="s">
        <v>108</v>
      </c>
      <c r="B56" t="s">
        <v>109</v>
      </c>
      <c r="C56">
        <v>42</v>
      </c>
      <c r="D56">
        <v>70</v>
      </c>
      <c r="E56">
        <v>64</v>
      </c>
      <c r="F56">
        <f>SUM(Tabulka1[[#This Row],[ČJ]:[M]])</f>
        <v>176</v>
      </c>
      <c r="G56" s="23">
        <f>AVERAGE(Tabulka1[[#This Row],[ČJ]:[M]])</f>
        <v>58.666666666666664</v>
      </c>
      <c r="H56">
        <f>RANK(Tabulka1[[#This Row],[Celkem bodů]],Tabulka1[Celkem bodů])</f>
        <v>21</v>
      </c>
      <c r="I56" t="str">
        <f>IF(Tabulka1[[#This Row],[Celkem bodů]]&gt;150,"přijat","nepřijat")</f>
        <v>přijat</v>
      </c>
    </row>
    <row r="57" spans="1:9">
      <c r="A57" t="s">
        <v>110</v>
      </c>
      <c r="B57" t="s">
        <v>111</v>
      </c>
      <c r="C57">
        <v>22</v>
      </c>
      <c r="D57">
        <v>11</v>
      </c>
      <c r="E57">
        <v>32</v>
      </c>
      <c r="F57">
        <f>SUM(Tabulka1[[#This Row],[ČJ]:[M]])</f>
        <v>65</v>
      </c>
      <c r="G57" s="23">
        <f>AVERAGE(Tabulka1[[#This Row],[ČJ]:[M]])</f>
        <v>21.666666666666668</v>
      </c>
      <c r="H57">
        <f>RANK(Tabulka1[[#This Row],[Celkem bodů]],Tabulka1[Celkem bodů])</f>
        <v>90</v>
      </c>
      <c r="I57" t="str">
        <f>IF(Tabulka1[[#This Row],[Celkem bodů]]&gt;150,"přijat","nepřijat")</f>
        <v>nepřijat</v>
      </c>
    </row>
    <row r="58" spans="1:9">
      <c r="A58" t="s">
        <v>112</v>
      </c>
      <c r="B58" t="s">
        <v>113</v>
      </c>
      <c r="C58">
        <v>68</v>
      </c>
      <c r="D58">
        <v>85</v>
      </c>
      <c r="E58">
        <v>73</v>
      </c>
      <c r="F58">
        <f>SUM(Tabulka1[[#This Row],[ČJ]:[M]])</f>
        <v>226</v>
      </c>
      <c r="G58" s="23">
        <f>AVERAGE(Tabulka1[[#This Row],[ČJ]:[M]])</f>
        <v>75.333333333333329</v>
      </c>
      <c r="H58">
        <f>RANK(Tabulka1[[#This Row],[Celkem bodů]],Tabulka1[Celkem bodů])</f>
        <v>4</v>
      </c>
      <c r="I58" t="str">
        <f>IF(Tabulka1[[#This Row],[Celkem bodů]]&gt;150,"přijat","nepřijat")</f>
        <v>přijat</v>
      </c>
    </row>
    <row r="59" spans="1:9">
      <c r="A59" t="s">
        <v>114</v>
      </c>
      <c r="B59" t="s">
        <v>115</v>
      </c>
      <c r="C59">
        <v>58</v>
      </c>
      <c r="D59">
        <v>76</v>
      </c>
      <c r="E59">
        <v>55</v>
      </c>
      <c r="F59">
        <f>SUM(Tabulka1[[#This Row],[ČJ]:[M]])</f>
        <v>189</v>
      </c>
      <c r="G59" s="23">
        <f>AVERAGE(Tabulka1[[#This Row],[ČJ]:[M]])</f>
        <v>63</v>
      </c>
      <c r="H59">
        <f>RANK(Tabulka1[[#This Row],[Celkem bodů]],Tabulka1[Celkem bodů])</f>
        <v>16</v>
      </c>
      <c r="I59" t="str">
        <f>IF(Tabulka1[[#This Row],[Celkem bodů]]&gt;150,"přijat","nepřijat")</f>
        <v>přijat</v>
      </c>
    </row>
    <row r="60" spans="1:9">
      <c r="A60" t="s">
        <v>116</v>
      </c>
      <c r="B60" t="s">
        <v>117</v>
      </c>
      <c r="C60">
        <v>17</v>
      </c>
      <c r="D60">
        <v>26</v>
      </c>
      <c r="E60">
        <v>96</v>
      </c>
      <c r="F60">
        <f>SUM(Tabulka1[[#This Row],[ČJ]:[M]])</f>
        <v>139</v>
      </c>
      <c r="G60" s="23">
        <f>AVERAGE(Tabulka1[[#This Row],[ČJ]:[M]])</f>
        <v>46.333333333333336</v>
      </c>
      <c r="H60">
        <f>RANK(Tabulka1[[#This Row],[Celkem bodů]],Tabulka1[Celkem bodů])</f>
        <v>48</v>
      </c>
      <c r="I60" t="str">
        <f>IF(Tabulka1[[#This Row],[Celkem bodů]]&gt;150,"přijat","nepřijat")</f>
        <v>nepřijat</v>
      </c>
    </row>
    <row r="61" spans="1:9">
      <c r="A61" t="s">
        <v>118</v>
      </c>
      <c r="B61" t="s">
        <v>119</v>
      </c>
      <c r="C61">
        <v>38</v>
      </c>
      <c r="D61">
        <v>22</v>
      </c>
      <c r="E61">
        <v>88</v>
      </c>
      <c r="F61">
        <f>SUM(Tabulka1[[#This Row],[ČJ]:[M]])</f>
        <v>148</v>
      </c>
      <c r="G61" s="23">
        <f>AVERAGE(Tabulka1[[#This Row],[ČJ]:[M]])</f>
        <v>49.333333333333336</v>
      </c>
      <c r="H61">
        <f>RANK(Tabulka1[[#This Row],[Celkem bodů]],Tabulka1[Celkem bodů])</f>
        <v>43</v>
      </c>
      <c r="I61" t="str">
        <f>IF(Tabulka1[[#This Row],[Celkem bodů]]&gt;150,"přijat","nepřijat")</f>
        <v>nepřijat</v>
      </c>
    </row>
    <row r="62" spans="1:9">
      <c r="A62" t="s">
        <v>120</v>
      </c>
      <c r="B62" t="s">
        <v>121</v>
      </c>
      <c r="C62">
        <v>49</v>
      </c>
      <c r="D62">
        <v>99</v>
      </c>
      <c r="E62">
        <v>28</v>
      </c>
      <c r="F62">
        <f>SUM(Tabulka1[[#This Row],[ČJ]:[M]])</f>
        <v>176</v>
      </c>
      <c r="G62" s="23">
        <f>AVERAGE(Tabulka1[[#This Row],[ČJ]:[M]])</f>
        <v>58.666666666666664</v>
      </c>
      <c r="H62">
        <f>RANK(Tabulka1[[#This Row],[Celkem bodů]],Tabulka1[Celkem bodů])</f>
        <v>21</v>
      </c>
      <c r="I62" t="str">
        <f>IF(Tabulka1[[#This Row],[Celkem bodů]]&gt;150,"přijat","nepřijat")</f>
        <v>přijat</v>
      </c>
    </row>
    <row r="63" spans="1:9">
      <c r="A63" t="s">
        <v>122</v>
      </c>
      <c r="B63" t="s">
        <v>123</v>
      </c>
      <c r="C63">
        <v>29</v>
      </c>
      <c r="D63">
        <v>83</v>
      </c>
      <c r="E63">
        <v>2</v>
      </c>
      <c r="F63">
        <f>SUM(Tabulka1[[#This Row],[ČJ]:[M]])</f>
        <v>114</v>
      </c>
      <c r="G63" s="23">
        <f>AVERAGE(Tabulka1[[#This Row],[ČJ]:[M]])</f>
        <v>38</v>
      </c>
      <c r="H63">
        <f>RANK(Tabulka1[[#This Row],[Celkem bodů]],Tabulka1[Celkem bodů])</f>
        <v>68</v>
      </c>
      <c r="I63" t="str">
        <f>IF(Tabulka1[[#This Row],[Celkem bodů]]&gt;150,"přijat","nepřijat")</f>
        <v>nepřijat</v>
      </c>
    </row>
    <row r="64" spans="1:9">
      <c r="A64" t="s">
        <v>124</v>
      </c>
      <c r="B64" t="s">
        <v>125</v>
      </c>
      <c r="C64">
        <v>61</v>
      </c>
      <c r="D64">
        <v>49</v>
      </c>
      <c r="E64">
        <v>43</v>
      </c>
      <c r="F64">
        <f>SUM(Tabulka1[[#This Row],[ČJ]:[M]])</f>
        <v>153</v>
      </c>
      <c r="G64" s="23">
        <f>AVERAGE(Tabulka1[[#This Row],[ČJ]:[M]])</f>
        <v>51</v>
      </c>
      <c r="H64">
        <f>RANK(Tabulka1[[#This Row],[Celkem bodů]],Tabulka1[Celkem bodů])</f>
        <v>40</v>
      </c>
      <c r="I64" t="str">
        <f>IF(Tabulka1[[#This Row],[Celkem bodů]]&gt;150,"přijat","nepřijat")</f>
        <v>přijat</v>
      </c>
    </row>
    <row r="65" spans="1:9">
      <c r="A65" t="s">
        <v>126</v>
      </c>
      <c r="B65" t="s">
        <v>127</v>
      </c>
      <c r="C65">
        <v>95</v>
      </c>
      <c r="D65">
        <v>14</v>
      </c>
      <c r="E65">
        <v>51</v>
      </c>
      <c r="F65">
        <f>SUM(Tabulka1[[#This Row],[ČJ]:[M]])</f>
        <v>160</v>
      </c>
      <c r="G65" s="23">
        <f>AVERAGE(Tabulka1[[#This Row],[ČJ]:[M]])</f>
        <v>53.333333333333336</v>
      </c>
      <c r="H65">
        <f>RANK(Tabulka1[[#This Row],[Celkem bodů]],Tabulka1[Celkem bodů])</f>
        <v>36</v>
      </c>
      <c r="I65" t="str">
        <f>IF(Tabulka1[[#This Row],[Celkem bodů]]&gt;150,"přijat","nepřijat")</f>
        <v>přijat</v>
      </c>
    </row>
    <row r="66" spans="1:9">
      <c r="A66" t="s">
        <v>128</v>
      </c>
      <c r="B66" t="s">
        <v>129</v>
      </c>
      <c r="C66">
        <v>2</v>
      </c>
      <c r="D66">
        <v>95</v>
      </c>
      <c r="E66">
        <v>63</v>
      </c>
      <c r="F66">
        <f>SUM(Tabulka1[[#This Row],[ČJ]:[M]])</f>
        <v>160</v>
      </c>
      <c r="G66" s="23">
        <f>AVERAGE(Tabulka1[[#This Row],[ČJ]:[M]])</f>
        <v>53.333333333333336</v>
      </c>
      <c r="H66">
        <f>RANK(Tabulka1[[#This Row],[Celkem bodů]],Tabulka1[Celkem bodů])</f>
        <v>36</v>
      </c>
      <c r="I66" t="str">
        <f>IF(Tabulka1[[#This Row],[Celkem bodů]]&gt;150,"přijat","nepřijat")</f>
        <v>přijat</v>
      </c>
    </row>
    <row r="67" spans="1:9">
      <c r="A67" t="s">
        <v>130</v>
      </c>
      <c r="B67" t="s">
        <v>131</v>
      </c>
      <c r="C67">
        <v>38</v>
      </c>
      <c r="D67">
        <v>63</v>
      </c>
      <c r="E67">
        <v>14</v>
      </c>
      <c r="F67">
        <f>SUM(Tabulka1[[#This Row],[ČJ]:[M]])</f>
        <v>115</v>
      </c>
      <c r="G67" s="23">
        <f>AVERAGE(Tabulka1[[#This Row],[ČJ]:[M]])</f>
        <v>38.333333333333336</v>
      </c>
      <c r="H67">
        <f>RANK(Tabulka1[[#This Row],[Celkem bodů]],Tabulka1[Celkem bodů])</f>
        <v>67</v>
      </c>
      <c r="I67" t="str">
        <f>IF(Tabulka1[[#This Row],[Celkem bodů]]&gt;150,"přijat","nepřijat")</f>
        <v>nepřijat</v>
      </c>
    </row>
    <row r="68" spans="1:9">
      <c r="A68" t="s">
        <v>132</v>
      </c>
      <c r="B68" t="s">
        <v>133</v>
      </c>
      <c r="C68">
        <v>81</v>
      </c>
      <c r="D68">
        <v>0</v>
      </c>
      <c r="E68">
        <v>25</v>
      </c>
      <c r="F68">
        <f>SUM(Tabulka1[[#This Row],[ČJ]:[M]])</f>
        <v>106</v>
      </c>
      <c r="G68" s="23">
        <f>AVERAGE(Tabulka1[[#This Row],[ČJ]:[M]])</f>
        <v>35.333333333333336</v>
      </c>
      <c r="H68">
        <f>RANK(Tabulka1[[#This Row],[Celkem bodů]],Tabulka1[Celkem bodů])</f>
        <v>72</v>
      </c>
      <c r="I68" t="str">
        <f>IF(Tabulka1[[#This Row],[Celkem bodů]]&gt;150,"přijat","nepřijat")</f>
        <v>nepřijat</v>
      </c>
    </row>
    <row r="69" spans="1:9">
      <c r="A69" t="s">
        <v>134</v>
      </c>
      <c r="B69" t="s">
        <v>135</v>
      </c>
      <c r="C69">
        <v>6</v>
      </c>
      <c r="D69">
        <v>61</v>
      </c>
      <c r="E69">
        <v>42</v>
      </c>
      <c r="F69">
        <f>SUM(Tabulka1[[#This Row],[ČJ]:[M]])</f>
        <v>109</v>
      </c>
      <c r="G69" s="23">
        <f>AVERAGE(Tabulka1[[#This Row],[ČJ]:[M]])</f>
        <v>36.333333333333336</v>
      </c>
      <c r="H69">
        <f>RANK(Tabulka1[[#This Row],[Celkem bodů]],Tabulka1[Celkem bodů])</f>
        <v>69</v>
      </c>
      <c r="I69" t="str">
        <f>IF(Tabulka1[[#This Row],[Celkem bodů]]&gt;150,"přijat","nepřijat")</f>
        <v>nepřijat</v>
      </c>
    </row>
    <row r="70" spans="1:9">
      <c r="A70" t="s">
        <v>136</v>
      </c>
      <c r="B70" t="s">
        <v>137</v>
      </c>
      <c r="C70">
        <v>64</v>
      </c>
      <c r="D70">
        <v>21</v>
      </c>
      <c r="E70">
        <v>11</v>
      </c>
      <c r="F70">
        <f>SUM(Tabulka1[[#This Row],[ČJ]:[M]])</f>
        <v>96</v>
      </c>
      <c r="G70" s="23">
        <f>AVERAGE(Tabulka1[[#This Row],[ČJ]:[M]])</f>
        <v>32</v>
      </c>
      <c r="H70">
        <f>RANK(Tabulka1[[#This Row],[Celkem bodů]],Tabulka1[Celkem bodů])</f>
        <v>82</v>
      </c>
      <c r="I70" t="str">
        <f>IF(Tabulka1[[#This Row],[Celkem bodů]]&gt;150,"přijat","nepřijat")</f>
        <v>nepřijat</v>
      </c>
    </row>
    <row r="71" spans="1:9">
      <c r="A71" t="s">
        <v>138</v>
      </c>
      <c r="B71" t="s">
        <v>139</v>
      </c>
      <c r="C71">
        <v>15</v>
      </c>
      <c r="D71">
        <v>61</v>
      </c>
      <c r="E71">
        <v>58</v>
      </c>
      <c r="F71">
        <f>SUM(Tabulka1[[#This Row],[ČJ]:[M]])</f>
        <v>134</v>
      </c>
      <c r="G71" s="23">
        <f>AVERAGE(Tabulka1[[#This Row],[ČJ]:[M]])</f>
        <v>44.666666666666664</v>
      </c>
      <c r="H71">
        <f>RANK(Tabulka1[[#This Row],[Celkem bodů]],Tabulka1[Celkem bodů])</f>
        <v>53</v>
      </c>
      <c r="I71" t="str">
        <f>IF(Tabulka1[[#This Row],[Celkem bodů]]&gt;150,"přijat","nepřijat")</f>
        <v>nepřijat</v>
      </c>
    </row>
    <row r="72" spans="1:9">
      <c r="A72" t="s">
        <v>140</v>
      </c>
      <c r="B72" t="s">
        <v>141</v>
      </c>
      <c r="C72">
        <v>68</v>
      </c>
      <c r="D72">
        <v>79</v>
      </c>
      <c r="E72">
        <v>27</v>
      </c>
      <c r="F72">
        <f>SUM(Tabulka1[[#This Row],[ČJ]:[M]])</f>
        <v>174</v>
      </c>
      <c r="G72" s="23">
        <f>AVERAGE(Tabulka1[[#This Row],[ČJ]:[M]])</f>
        <v>58</v>
      </c>
      <c r="H72">
        <f>RANK(Tabulka1[[#This Row],[Celkem bodů]],Tabulka1[Celkem bodů])</f>
        <v>23</v>
      </c>
      <c r="I72" t="str">
        <f>IF(Tabulka1[[#This Row],[Celkem bodů]]&gt;150,"přijat","nepřijat")</f>
        <v>přijat</v>
      </c>
    </row>
    <row r="73" spans="1:9">
      <c r="A73" t="s">
        <v>142</v>
      </c>
      <c r="B73" t="s">
        <v>143</v>
      </c>
      <c r="C73">
        <v>51</v>
      </c>
      <c r="D73">
        <v>36</v>
      </c>
      <c r="E73">
        <v>16</v>
      </c>
      <c r="F73">
        <f>SUM(Tabulka1[[#This Row],[ČJ]:[M]])</f>
        <v>103</v>
      </c>
      <c r="G73" s="23">
        <f>AVERAGE(Tabulka1[[#This Row],[ČJ]:[M]])</f>
        <v>34.333333333333336</v>
      </c>
      <c r="H73">
        <f>RANK(Tabulka1[[#This Row],[Celkem bodů]],Tabulka1[Celkem bodů])</f>
        <v>77</v>
      </c>
      <c r="I73" t="str">
        <f>IF(Tabulka1[[#This Row],[Celkem bodů]]&gt;150,"přijat","nepřijat")</f>
        <v>nepřijat</v>
      </c>
    </row>
    <row r="74" spans="1:9">
      <c r="A74" t="s">
        <v>144</v>
      </c>
      <c r="B74" t="s">
        <v>145</v>
      </c>
      <c r="C74">
        <v>92</v>
      </c>
      <c r="D74">
        <v>72</v>
      </c>
      <c r="E74">
        <v>63</v>
      </c>
      <c r="F74">
        <f>SUM(Tabulka1[[#This Row],[ČJ]:[M]])</f>
        <v>227</v>
      </c>
      <c r="G74" s="23">
        <f>AVERAGE(Tabulka1[[#This Row],[ČJ]:[M]])</f>
        <v>75.666666666666671</v>
      </c>
      <c r="H74">
        <f>RANK(Tabulka1[[#This Row],[Celkem bodů]],Tabulka1[Celkem bodů])</f>
        <v>3</v>
      </c>
      <c r="I74" t="str">
        <f>IF(Tabulka1[[#This Row],[Celkem bodů]]&gt;150,"přijat","nepřijat")</f>
        <v>přijat</v>
      </c>
    </row>
    <row r="75" spans="1:9">
      <c r="A75" t="s">
        <v>146</v>
      </c>
      <c r="B75" t="s">
        <v>147</v>
      </c>
      <c r="C75">
        <v>31</v>
      </c>
      <c r="D75">
        <v>70</v>
      </c>
      <c r="E75">
        <v>25</v>
      </c>
      <c r="F75">
        <f>SUM(Tabulka1[[#This Row],[ČJ]:[M]])</f>
        <v>126</v>
      </c>
      <c r="G75" s="23">
        <f>AVERAGE(Tabulka1[[#This Row],[ČJ]:[M]])</f>
        <v>42</v>
      </c>
      <c r="H75">
        <f>RANK(Tabulka1[[#This Row],[Celkem bodů]],Tabulka1[Celkem bodů])</f>
        <v>60</v>
      </c>
      <c r="I75" t="str">
        <f>IF(Tabulka1[[#This Row],[Celkem bodů]]&gt;150,"přijat","nepřijat")</f>
        <v>nepřijat</v>
      </c>
    </row>
    <row r="76" spans="1:9">
      <c r="A76" t="s">
        <v>53</v>
      </c>
      <c r="B76" t="s">
        <v>148</v>
      </c>
      <c r="C76">
        <v>37</v>
      </c>
      <c r="D76">
        <v>13</v>
      </c>
      <c r="E76">
        <v>54</v>
      </c>
      <c r="F76">
        <f>SUM(Tabulka1[[#This Row],[ČJ]:[M]])</f>
        <v>104</v>
      </c>
      <c r="G76" s="23">
        <f>AVERAGE(Tabulka1[[#This Row],[ČJ]:[M]])</f>
        <v>34.666666666666664</v>
      </c>
      <c r="H76">
        <f>RANK(Tabulka1[[#This Row],[Celkem bodů]],Tabulka1[Celkem bodů])</f>
        <v>76</v>
      </c>
      <c r="I76" t="str">
        <f>IF(Tabulka1[[#This Row],[Celkem bodů]]&gt;150,"přijat","nepřijat")</f>
        <v>nepřijat</v>
      </c>
    </row>
    <row r="77" spans="1:9">
      <c r="A77" t="s">
        <v>149</v>
      </c>
      <c r="B77" t="s">
        <v>150</v>
      </c>
      <c r="C77">
        <v>30</v>
      </c>
      <c r="D77">
        <v>46</v>
      </c>
      <c r="E77">
        <v>87</v>
      </c>
      <c r="F77">
        <f>SUM(Tabulka1[[#This Row],[ČJ]:[M]])</f>
        <v>163</v>
      </c>
      <c r="G77" s="23">
        <f>AVERAGE(Tabulka1[[#This Row],[ČJ]:[M]])</f>
        <v>54.333333333333336</v>
      </c>
      <c r="H77">
        <f>RANK(Tabulka1[[#This Row],[Celkem bodů]],Tabulka1[Celkem bodů])</f>
        <v>34</v>
      </c>
      <c r="I77" t="str">
        <f>IF(Tabulka1[[#This Row],[Celkem bodů]]&gt;150,"přijat","nepřijat")</f>
        <v>přijat</v>
      </c>
    </row>
    <row r="78" spans="1:9">
      <c r="A78" t="s">
        <v>151</v>
      </c>
      <c r="B78" t="s">
        <v>152</v>
      </c>
      <c r="C78">
        <v>93</v>
      </c>
      <c r="D78">
        <v>7</v>
      </c>
      <c r="E78">
        <v>28</v>
      </c>
      <c r="F78">
        <f>SUM(Tabulka1[[#This Row],[ČJ]:[M]])</f>
        <v>128</v>
      </c>
      <c r="G78" s="23">
        <f>AVERAGE(Tabulka1[[#This Row],[ČJ]:[M]])</f>
        <v>42.666666666666664</v>
      </c>
      <c r="H78">
        <f>RANK(Tabulka1[[#This Row],[Celkem bodů]],Tabulka1[Celkem bodů])</f>
        <v>58</v>
      </c>
      <c r="I78" t="str">
        <f>IF(Tabulka1[[#This Row],[Celkem bodů]]&gt;150,"přijat","nepřijat")</f>
        <v>nepřijat</v>
      </c>
    </row>
    <row r="79" spans="1:9">
      <c r="A79" t="s">
        <v>153</v>
      </c>
      <c r="B79" t="s">
        <v>154</v>
      </c>
      <c r="C79">
        <v>16</v>
      </c>
      <c r="D79">
        <v>41</v>
      </c>
      <c r="E79">
        <v>52</v>
      </c>
      <c r="F79">
        <f>SUM(Tabulka1[[#This Row],[ČJ]:[M]])</f>
        <v>109</v>
      </c>
      <c r="G79" s="23">
        <f>AVERAGE(Tabulka1[[#This Row],[ČJ]:[M]])</f>
        <v>36.333333333333336</v>
      </c>
      <c r="H79">
        <f>RANK(Tabulka1[[#This Row],[Celkem bodů]],Tabulka1[Celkem bodů])</f>
        <v>69</v>
      </c>
      <c r="I79" t="str">
        <f>IF(Tabulka1[[#This Row],[Celkem bodů]]&gt;150,"přijat","nepřijat")</f>
        <v>nepřijat</v>
      </c>
    </row>
    <row r="80" spans="1:9">
      <c r="A80" t="s">
        <v>155</v>
      </c>
      <c r="B80" t="s">
        <v>156</v>
      </c>
      <c r="C80">
        <v>68</v>
      </c>
      <c r="D80">
        <v>7</v>
      </c>
      <c r="E80">
        <v>15</v>
      </c>
      <c r="F80">
        <f>SUM(Tabulka1[[#This Row],[ČJ]:[M]])</f>
        <v>90</v>
      </c>
      <c r="G80" s="23">
        <f>AVERAGE(Tabulka1[[#This Row],[ČJ]:[M]])</f>
        <v>30</v>
      </c>
      <c r="H80">
        <f>RANK(Tabulka1[[#This Row],[Celkem bodů]],Tabulka1[Celkem bodů])</f>
        <v>84</v>
      </c>
      <c r="I80" t="str">
        <f>IF(Tabulka1[[#This Row],[Celkem bodů]]&gt;150,"přijat","nepřijat")</f>
        <v>nepřijat</v>
      </c>
    </row>
    <row r="81" spans="1:9">
      <c r="A81" t="s">
        <v>59</v>
      </c>
      <c r="B81" t="s">
        <v>157</v>
      </c>
      <c r="C81">
        <v>74</v>
      </c>
      <c r="D81">
        <v>86</v>
      </c>
      <c r="E81">
        <v>57</v>
      </c>
      <c r="F81">
        <f>SUM(Tabulka1[[#This Row],[ČJ]:[M]])</f>
        <v>217</v>
      </c>
      <c r="G81" s="23">
        <f>AVERAGE(Tabulka1[[#This Row],[ČJ]:[M]])</f>
        <v>72.333333333333329</v>
      </c>
      <c r="H81">
        <f>RANK(Tabulka1[[#This Row],[Celkem bodů]],Tabulka1[Celkem bodů])</f>
        <v>6</v>
      </c>
      <c r="I81" t="str">
        <f>IF(Tabulka1[[#This Row],[Celkem bodů]]&gt;150,"přijat","nepřijat")</f>
        <v>přijat</v>
      </c>
    </row>
    <row r="82" spans="1:9">
      <c r="A82" t="s">
        <v>158</v>
      </c>
      <c r="B82" t="s">
        <v>159</v>
      </c>
      <c r="C82">
        <v>34</v>
      </c>
      <c r="D82">
        <v>19</v>
      </c>
      <c r="E82">
        <v>48</v>
      </c>
      <c r="F82">
        <f>SUM(Tabulka1[[#This Row],[ČJ]:[M]])</f>
        <v>101</v>
      </c>
      <c r="G82" s="23">
        <f>AVERAGE(Tabulka1[[#This Row],[ČJ]:[M]])</f>
        <v>33.666666666666664</v>
      </c>
      <c r="H82">
        <f>RANK(Tabulka1[[#This Row],[Celkem bodů]],Tabulka1[Celkem bodů])</f>
        <v>79</v>
      </c>
      <c r="I82" t="str">
        <f>IF(Tabulka1[[#This Row],[Celkem bodů]]&gt;150,"přijat","nepřijat")</f>
        <v>nepřijat</v>
      </c>
    </row>
    <row r="83" spans="1:9">
      <c r="A83" t="s">
        <v>160</v>
      </c>
      <c r="B83" t="s">
        <v>161</v>
      </c>
      <c r="C83">
        <v>29</v>
      </c>
      <c r="D83">
        <v>6</v>
      </c>
      <c r="E83">
        <v>54</v>
      </c>
      <c r="F83">
        <f>SUM(Tabulka1[[#This Row],[ČJ]:[M]])</f>
        <v>89</v>
      </c>
      <c r="G83" s="23">
        <f>AVERAGE(Tabulka1[[#This Row],[ČJ]:[M]])</f>
        <v>29.666666666666668</v>
      </c>
      <c r="H83">
        <f>RANK(Tabulka1[[#This Row],[Celkem bodů]],Tabulka1[Celkem bodů])</f>
        <v>85</v>
      </c>
      <c r="I83" t="str">
        <f>IF(Tabulka1[[#This Row],[Celkem bodů]]&gt;150,"přijat","nepřijat")</f>
        <v>nepřijat</v>
      </c>
    </row>
    <row r="84" spans="1:9">
      <c r="A84" t="s">
        <v>162</v>
      </c>
      <c r="B84" t="s">
        <v>163</v>
      </c>
      <c r="C84">
        <v>14</v>
      </c>
      <c r="D84">
        <v>59</v>
      </c>
      <c r="E84">
        <v>89</v>
      </c>
      <c r="F84">
        <f>SUM(Tabulka1[[#This Row],[ČJ]:[M]])</f>
        <v>162</v>
      </c>
      <c r="G84" s="23">
        <f>AVERAGE(Tabulka1[[#This Row],[ČJ]:[M]])</f>
        <v>54</v>
      </c>
      <c r="H84">
        <f>RANK(Tabulka1[[#This Row],[Celkem bodů]],Tabulka1[Celkem bodů])</f>
        <v>35</v>
      </c>
      <c r="I84" t="str">
        <f>IF(Tabulka1[[#This Row],[Celkem bodů]]&gt;150,"přijat","nepřijat")</f>
        <v>přijat</v>
      </c>
    </row>
    <row r="85" spans="1:9">
      <c r="A85" t="s">
        <v>164</v>
      </c>
      <c r="B85" t="s">
        <v>165</v>
      </c>
      <c r="C85">
        <v>4</v>
      </c>
      <c r="D85">
        <v>1</v>
      </c>
      <c r="E85">
        <v>9</v>
      </c>
      <c r="F85">
        <f>SUM(Tabulka1[[#This Row],[ČJ]:[M]])</f>
        <v>14</v>
      </c>
      <c r="G85" s="23">
        <f>AVERAGE(Tabulka1[[#This Row],[ČJ]:[M]])</f>
        <v>4.666666666666667</v>
      </c>
      <c r="H85">
        <f>RANK(Tabulka1[[#This Row],[Celkem bodů]],Tabulka1[Celkem bodů])</f>
        <v>99</v>
      </c>
      <c r="I85" t="str">
        <f>IF(Tabulka1[[#This Row],[Celkem bodů]]&gt;150,"přijat","nepřijat")</f>
        <v>nepřijat</v>
      </c>
    </row>
    <row r="86" spans="1:9">
      <c r="A86" t="s">
        <v>166</v>
      </c>
      <c r="B86" t="s">
        <v>167</v>
      </c>
      <c r="C86">
        <v>59</v>
      </c>
      <c r="D86">
        <v>25</v>
      </c>
      <c r="E86">
        <v>65</v>
      </c>
      <c r="F86">
        <f>SUM(Tabulka1[[#This Row],[ČJ]:[M]])</f>
        <v>149</v>
      </c>
      <c r="G86" s="23">
        <f>AVERAGE(Tabulka1[[#This Row],[ČJ]:[M]])</f>
        <v>49.666666666666664</v>
      </c>
      <c r="H86">
        <f>RANK(Tabulka1[[#This Row],[Celkem bodů]],Tabulka1[Celkem bodů])</f>
        <v>42</v>
      </c>
      <c r="I86" t="str">
        <f>IF(Tabulka1[[#This Row],[Celkem bodů]]&gt;150,"přijat","nepřijat")</f>
        <v>nepřijat</v>
      </c>
    </row>
    <row r="87" spans="1:9">
      <c r="A87" t="s">
        <v>168</v>
      </c>
      <c r="B87" t="s">
        <v>169</v>
      </c>
      <c r="C87">
        <v>56</v>
      </c>
      <c r="D87">
        <v>67</v>
      </c>
      <c r="E87">
        <v>87</v>
      </c>
      <c r="F87">
        <f>SUM(Tabulka1[[#This Row],[ČJ]:[M]])</f>
        <v>210</v>
      </c>
      <c r="G87" s="23">
        <f>AVERAGE(Tabulka1[[#This Row],[ČJ]:[M]])</f>
        <v>70</v>
      </c>
      <c r="H87">
        <f>RANK(Tabulka1[[#This Row],[Celkem bodů]],Tabulka1[Celkem bodů])</f>
        <v>7</v>
      </c>
      <c r="I87" t="str">
        <f>IF(Tabulka1[[#This Row],[Celkem bodů]]&gt;150,"přijat","nepřijat")</f>
        <v>přijat</v>
      </c>
    </row>
    <row r="88" spans="1:9">
      <c r="A88" t="s">
        <v>170</v>
      </c>
      <c r="B88" t="s">
        <v>171</v>
      </c>
      <c r="C88">
        <v>57</v>
      </c>
      <c r="D88">
        <v>67</v>
      </c>
      <c r="E88">
        <v>80</v>
      </c>
      <c r="F88">
        <f>SUM(Tabulka1[[#This Row],[ČJ]:[M]])</f>
        <v>204</v>
      </c>
      <c r="G88" s="23">
        <f>AVERAGE(Tabulka1[[#This Row],[ČJ]:[M]])</f>
        <v>68</v>
      </c>
      <c r="H88">
        <f>RANK(Tabulka1[[#This Row],[Celkem bodů]],Tabulka1[Celkem bodů])</f>
        <v>9</v>
      </c>
      <c r="I88" t="str">
        <f>IF(Tabulka1[[#This Row],[Celkem bodů]]&gt;150,"přijat","nepřijat")</f>
        <v>přijat</v>
      </c>
    </row>
    <row r="89" spans="1:9">
      <c r="A89" t="s">
        <v>172</v>
      </c>
      <c r="B89" t="s">
        <v>173</v>
      </c>
      <c r="C89">
        <v>39</v>
      </c>
      <c r="D89">
        <v>25</v>
      </c>
      <c r="E89">
        <v>43</v>
      </c>
      <c r="F89">
        <f>SUM(Tabulka1[[#This Row],[ČJ]:[M]])</f>
        <v>107</v>
      </c>
      <c r="G89" s="23">
        <f>AVERAGE(Tabulka1[[#This Row],[ČJ]:[M]])</f>
        <v>35.666666666666664</v>
      </c>
      <c r="H89">
        <f>RANK(Tabulka1[[#This Row],[Celkem bodů]],Tabulka1[Celkem bodů])</f>
        <v>71</v>
      </c>
      <c r="I89" t="str">
        <f>IF(Tabulka1[[#This Row],[Celkem bodů]]&gt;150,"přijat","nepřijat")</f>
        <v>nepřijat</v>
      </c>
    </row>
    <row r="90" spans="1:9">
      <c r="A90" t="s">
        <v>174</v>
      </c>
      <c r="B90" t="s">
        <v>175</v>
      </c>
      <c r="C90">
        <v>52</v>
      </c>
      <c r="D90">
        <v>16</v>
      </c>
      <c r="E90">
        <v>61</v>
      </c>
      <c r="F90">
        <f>SUM(Tabulka1[[#This Row],[ČJ]:[M]])</f>
        <v>129</v>
      </c>
      <c r="G90" s="23">
        <f>AVERAGE(Tabulka1[[#This Row],[ČJ]:[M]])</f>
        <v>43</v>
      </c>
      <c r="H90">
        <f>RANK(Tabulka1[[#This Row],[Celkem bodů]],Tabulka1[Celkem bodů])</f>
        <v>57</v>
      </c>
      <c r="I90" t="str">
        <f>IF(Tabulka1[[#This Row],[Celkem bodů]]&gt;150,"přijat","nepřijat")</f>
        <v>nepřijat</v>
      </c>
    </row>
    <row r="91" spans="1:9">
      <c r="A91" t="s">
        <v>176</v>
      </c>
      <c r="B91" t="s">
        <v>177</v>
      </c>
      <c r="C91">
        <v>78</v>
      </c>
      <c r="D91">
        <v>15</v>
      </c>
      <c r="E91">
        <v>10</v>
      </c>
      <c r="F91">
        <f>SUM(Tabulka1[[#This Row],[ČJ]:[M]])</f>
        <v>103</v>
      </c>
      <c r="G91" s="23">
        <f>AVERAGE(Tabulka1[[#This Row],[ČJ]:[M]])</f>
        <v>34.333333333333336</v>
      </c>
      <c r="H91">
        <f>RANK(Tabulka1[[#This Row],[Celkem bodů]],Tabulka1[Celkem bodů])</f>
        <v>77</v>
      </c>
      <c r="I91" t="str">
        <f>IF(Tabulka1[[#This Row],[Celkem bodů]]&gt;150,"přijat","nepřijat")</f>
        <v>nepřijat</v>
      </c>
    </row>
    <row r="92" spans="1:9">
      <c r="A92" t="s">
        <v>178</v>
      </c>
      <c r="B92" t="s">
        <v>179</v>
      </c>
      <c r="C92">
        <v>27</v>
      </c>
      <c r="D92">
        <v>69</v>
      </c>
      <c r="E92">
        <v>10</v>
      </c>
      <c r="F92">
        <f>SUM(Tabulka1[[#This Row],[ČJ]:[M]])</f>
        <v>106</v>
      </c>
      <c r="G92" s="23">
        <f>AVERAGE(Tabulka1[[#This Row],[ČJ]:[M]])</f>
        <v>35.333333333333336</v>
      </c>
      <c r="H92">
        <f>RANK(Tabulka1[[#This Row],[Celkem bodů]],Tabulka1[Celkem bodů])</f>
        <v>72</v>
      </c>
      <c r="I92" t="str">
        <f>IF(Tabulka1[[#This Row],[Celkem bodů]]&gt;150,"přijat","nepřijat")</f>
        <v>nepřijat</v>
      </c>
    </row>
    <row r="93" spans="1:9">
      <c r="A93" t="s">
        <v>180</v>
      </c>
      <c r="B93" t="s">
        <v>181</v>
      </c>
      <c r="C93">
        <v>81</v>
      </c>
      <c r="D93">
        <v>34</v>
      </c>
      <c r="E93">
        <v>80</v>
      </c>
      <c r="F93">
        <f>SUM(Tabulka1[[#This Row],[ČJ]:[M]])</f>
        <v>195</v>
      </c>
      <c r="G93" s="23">
        <f>AVERAGE(Tabulka1[[#This Row],[ČJ]:[M]])</f>
        <v>65</v>
      </c>
      <c r="H93">
        <f>RANK(Tabulka1[[#This Row],[Celkem bodů]],Tabulka1[Celkem bodů])</f>
        <v>11</v>
      </c>
      <c r="I93" t="str">
        <f>IF(Tabulka1[[#This Row],[Celkem bodů]]&gt;150,"přijat","nepřijat")</f>
        <v>přijat</v>
      </c>
    </row>
    <row r="94" spans="1:9">
      <c r="A94" t="s">
        <v>182</v>
      </c>
      <c r="B94" t="s">
        <v>183</v>
      </c>
      <c r="C94">
        <v>8</v>
      </c>
      <c r="D94">
        <v>91</v>
      </c>
      <c r="E94">
        <v>43</v>
      </c>
      <c r="F94">
        <f>SUM(Tabulka1[[#This Row],[ČJ]:[M]])</f>
        <v>142</v>
      </c>
      <c r="G94" s="23">
        <f>AVERAGE(Tabulka1[[#This Row],[ČJ]:[M]])</f>
        <v>47.333333333333336</v>
      </c>
      <c r="H94">
        <f>RANK(Tabulka1[[#This Row],[Celkem bodů]],Tabulka1[Celkem bodů])</f>
        <v>46</v>
      </c>
      <c r="I94" t="str">
        <f>IF(Tabulka1[[#This Row],[Celkem bodů]]&gt;150,"přijat","nepřijat")</f>
        <v>nepřijat</v>
      </c>
    </row>
    <row r="95" spans="1:9">
      <c r="A95" t="s">
        <v>104</v>
      </c>
      <c r="B95" t="s">
        <v>184</v>
      </c>
      <c r="C95">
        <v>1</v>
      </c>
      <c r="D95">
        <v>25</v>
      </c>
      <c r="E95">
        <v>8</v>
      </c>
      <c r="F95">
        <f>SUM(Tabulka1[[#This Row],[ČJ]:[M]])</f>
        <v>34</v>
      </c>
      <c r="G95" s="23">
        <f>AVERAGE(Tabulka1[[#This Row],[ČJ]:[M]])</f>
        <v>11.333333333333334</v>
      </c>
      <c r="H95">
        <f>RANK(Tabulka1[[#This Row],[Celkem bodů]],Tabulka1[Celkem bodů])</f>
        <v>95</v>
      </c>
      <c r="I95" t="str">
        <f>IF(Tabulka1[[#This Row],[Celkem bodů]]&gt;150,"přijat","nepřijat")</f>
        <v>nepřijat</v>
      </c>
    </row>
    <row r="96" spans="1:9">
      <c r="A96" t="s">
        <v>106</v>
      </c>
      <c r="B96" t="s">
        <v>185</v>
      </c>
      <c r="C96">
        <v>61</v>
      </c>
      <c r="D96">
        <v>43</v>
      </c>
      <c r="E96">
        <v>65</v>
      </c>
      <c r="F96">
        <f>SUM(Tabulka1[[#This Row],[ČJ]:[M]])</f>
        <v>169</v>
      </c>
      <c r="G96" s="23">
        <f>AVERAGE(Tabulka1[[#This Row],[ČJ]:[M]])</f>
        <v>56.333333333333336</v>
      </c>
      <c r="H96">
        <f>RANK(Tabulka1[[#This Row],[Celkem bodů]],Tabulka1[Celkem bodů])</f>
        <v>30</v>
      </c>
      <c r="I96" t="str">
        <f>IF(Tabulka1[[#This Row],[Celkem bodů]]&gt;150,"přijat","nepřijat")</f>
        <v>přijat</v>
      </c>
    </row>
    <row r="97" spans="1:9">
      <c r="A97" t="s">
        <v>108</v>
      </c>
      <c r="B97" t="s">
        <v>186</v>
      </c>
      <c r="C97">
        <v>53</v>
      </c>
      <c r="D97">
        <v>51</v>
      </c>
      <c r="E97">
        <v>74</v>
      </c>
      <c r="F97">
        <f>SUM(Tabulka1[[#This Row],[ČJ]:[M]])</f>
        <v>178</v>
      </c>
      <c r="G97" s="23">
        <f>AVERAGE(Tabulka1[[#This Row],[ČJ]:[M]])</f>
        <v>59.333333333333336</v>
      </c>
      <c r="H97">
        <f>RANK(Tabulka1[[#This Row],[Celkem bodů]],Tabulka1[Celkem bodů])</f>
        <v>20</v>
      </c>
      <c r="I97" t="str">
        <f>IF(Tabulka1[[#This Row],[Celkem bodů]]&gt;150,"přijat","nepřijat")</f>
        <v>přijat</v>
      </c>
    </row>
    <row r="98" spans="1:9">
      <c r="A98" t="s">
        <v>187</v>
      </c>
      <c r="B98" t="s">
        <v>188</v>
      </c>
      <c r="C98">
        <v>38</v>
      </c>
      <c r="D98">
        <v>32</v>
      </c>
      <c r="E98">
        <v>68</v>
      </c>
      <c r="F98">
        <f>SUM(Tabulka1[[#This Row],[ČJ]:[M]])</f>
        <v>138</v>
      </c>
      <c r="G98" s="23">
        <f>AVERAGE(Tabulka1[[#This Row],[ČJ]:[M]])</f>
        <v>46</v>
      </c>
      <c r="H98">
        <f>RANK(Tabulka1[[#This Row],[Celkem bodů]],Tabulka1[Celkem bodů])</f>
        <v>49</v>
      </c>
      <c r="I98" t="str">
        <f>IF(Tabulka1[[#This Row],[Celkem bodů]]&gt;150,"přijat","nepřijat")</f>
        <v>nepřijat</v>
      </c>
    </row>
    <row r="99" spans="1:9">
      <c r="A99" t="s">
        <v>189</v>
      </c>
      <c r="B99" t="s">
        <v>190</v>
      </c>
      <c r="C99">
        <v>81</v>
      </c>
      <c r="D99">
        <v>68</v>
      </c>
      <c r="E99">
        <v>48</v>
      </c>
      <c r="F99">
        <f>SUM(Tabulka1[[#This Row],[ČJ]:[M]])</f>
        <v>197</v>
      </c>
      <c r="G99" s="23">
        <f>AVERAGE(Tabulka1[[#This Row],[ČJ]:[M]])</f>
        <v>65.666666666666671</v>
      </c>
      <c r="H99">
        <f>RANK(Tabulka1[[#This Row],[Celkem bodů]],Tabulka1[Celkem bodů])</f>
        <v>10</v>
      </c>
      <c r="I99" t="str">
        <f>IF(Tabulka1[[#This Row],[Celkem bodů]]&gt;150,"přijat","nepřijat")</f>
        <v>přijat</v>
      </c>
    </row>
    <row r="100" spans="1:9">
      <c r="A100" t="s">
        <v>191</v>
      </c>
      <c r="B100" t="s">
        <v>192</v>
      </c>
      <c r="C100">
        <v>33</v>
      </c>
      <c r="D100">
        <v>28</v>
      </c>
      <c r="E100">
        <v>36</v>
      </c>
      <c r="F100">
        <f>SUM(Tabulka1[[#This Row],[ČJ]:[M]])</f>
        <v>97</v>
      </c>
      <c r="G100" s="23">
        <f>AVERAGE(Tabulka1[[#This Row],[ČJ]:[M]])</f>
        <v>32.333333333333336</v>
      </c>
      <c r="H100">
        <f>RANK(Tabulka1[[#This Row],[Celkem bodů]],Tabulka1[Celkem bodů])</f>
        <v>81</v>
      </c>
      <c r="I100" t="str">
        <f>IF(Tabulka1[[#This Row],[Celkem bodů]]&gt;150,"přijat","nepřijat")</f>
        <v>nepřijat</v>
      </c>
    </row>
    <row r="101" spans="1:9">
      <c r="A101" t="s">
        <v>193</v>
      </c>
      <c r="B101" t="s">
        <v>194</v>
      </c>
      <c r="C101">
        <v>92</v>
      </c>
      <c r="D101">
        <v>4</v>
      </c>
      <c r="E101">
        <v>95</v>
      </c>
      <c r="F101">
        <f>SUM(Tabulka1[[#This Row],[ČJ]:[M]])</f>
        <v>191</v>
      </c>
      <c r="G101" s="23">
        <f>AVERAGE(Tabulka1[[#This Row],[ČJ]:[M]])</f>
        <v>63.666666666666664</v>
      </c>
      <c r="H101">
        <f>RANK(Tabulka1[[#This Row],[Celkem bodů]],Tabulka1[Celkem bodů])</f>
        <v>15</v>
      </c>
      <c r="I101" t="str">
        <f>IF(Tabulka1[[#This Row],[Celkem bodů]]&gt;150,"přijat","nepřijat")</f>
        <v>přijat</v>
      </c>
    </row>
    <row r="102" spans="1:9">
      <c r="A102" t="s">
        <v>195</v>
      </c>
      <c r="B102" t="s">
        <v>196</v>
      </c>
      <c r="C102">
        <v>71</v>
      </c>
      <c r="D102">
        <v>56</v>
      </c>
      <c r="E102">
        <v>9</v>
      </c>
      <c r="F102">
        <f>SUM(Tabulka1[[#This Row],[ČJ]:[M]])</f>
        <v>136</v>
      </c>
      <c r="G102" s="23">
        <f>AVERAGE(Tabulka1[[#This Row],[ČJ]:[M]])</f>
        <v>45.333333333333336</v>
      </c>
      <c r="H102">
        <f>RANK(Tabulka1[[#This Row],[Celkem bodů]],Tabulka1[Celkem bodů])</f>
        <v>50</v>
      </c>
      <c r="I102" t="str">
        <f>IF(Tabulka1[[#This Row],[Celkem bodů]]&gt;150,"přijat","nepřijat")</f>
        <v>nepřijat</v>
      </c>
    </row>
    <row r="110056" spans="15:15">
      <c r="O11005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3D7-5DC1-41C4-BBB6-AB394EB42051}">
  <dimension ref="A1:AD21"/>
  <sheetViews>
    <sheetView workbookViewId="0">
      <selection activeCell="Q13" sqref="Q13"/>
    </sheetView>
  </sheetViews>
  <sheetFormatPr defaultRowHeight="15"/>
  <cols>
    <col min="14" max="14" width="14.28515625" customWidth="1"/>
  </cols>
  <sheetData>
    <row r="1" spans="1:30" ht="23.25">
      <c r="A1" s="1" t="s">
        <v>197</v>
      </c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ht="15.75" thickBot="1"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5"/>
    </row>
    <row r="3" spans="1:30">
      <c r="A3" s="26" t="s">
        <v>2</v>
      </c>
      <c r="B3" s="28" t="s">
        <v>198</v>
      </c>
      <c r="C3" s="29"/>
      <c r="D3" s="29"/>
      <c r="E3" s="29"/>
      <c r="F3" s="29"/>
      <c r="G3" s="29"/>
      <c r="H3" s="29"/>
      <c r="I3" s="29"/>
      <c r="J3" s="29"/>
      <c r="K3" s="29"/>
      <c r="L3" s="30"/>
      <c r="M3" s="31" t="s">
        <v>199</v>
      </c>
      <c r="N3" s="33" t="s">
        <v>200</v>
      </c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5"/>
    </row>
    <row r="4" spans="1:30" ht="87.75" thickBot="1">
      <c r="A4" s="27"/>
      <c r="B4" s="2" t="s">
        <v>201</v>
      </c>
      <c r="C4" s="3" t="s">
        <v>202</v>
      </c>
      <c r="D4" s="4" t="s">
        <v>203</v>
      </c>
      <c r="E4" s="4" t="s">
        <v>204</v>
      </c>
      <c r="F4" s="4" t="s">
        <v>205</v>
      </c>
      <c r="G4" s="4" t="s">
        <v>206</v>
      </c>
      <c r="H4" s="4" t="s">
        <v>207</v>
      </c>
      <c r="I4" s="4" t="s">
        <v>208</v>
      </c>
      <c r="J4" s="4" t="s">
        <v>209</v>
      </c>
      <c r="K4" s="4" t="s">
        <v>210</v>
      </c>
      <c r="L4" s="5" t="s">
        <v>211</v>
      </c>
      <c r="M4" s="32"/>
      <c r="N4" s="34"/>
      <c r="R4" s="36"/>
      <c r="S4" s="36"/>
      <c r="T4" s="36"/>
      <c r="U4" s="36"/>
      <c r="V4" s="35"/>
      <c r="W4" s="36"/>
      <c r="X4" s="35"/>
      <c r="Y4" s="36"/>
      <c r="Z4" s="36"/>
      <c r="AA4" s="36"/>
      <c r="AB4" s="36"/>
      <c r="AC4" s="36"/>
      <c r="AD4" s="35"/>
    </row>
    <row r="5" spans="1:30" ht="16.5" thickBot="1">
      <c r="A5" s="6" t="s">
        <v>15</v>
      </c>
      <c r="B5" s="7">
        <v>1</v>
      </c>
      <c r="C5" s="8">
        <v>1</v>
      </c>
      <c r="D5" s="9">
        <v>2</v>
      </c>
      <c r="E5" s="9">
        <v>1</v>
      </c>
      <c r="G5" s="9">
        <v>1</v>
      </c>
      <c r="H5" s="9">
        <v>2</v>
      </c>
      <c r="I5" s="9">
        <v>1</v>
      </c>
      <c r="J5" s="9">
        <v>2</v>
      </c>
      <c r="K5" s="9">
        <v>1</v>
      </c>
      <c r="L5" s="10">
        <v>2</v>
      </c>
      <c r="M5" s="24">
        <f>AVERAGE(B5:L5)</f>
        <v>1.4</v>
      </c>
      <c r="N5" s="11" t="str" cm="1">
        <f t="array" ref="N5">_xlfn.IFS(MAX(B5:L5)=5,"neprospel",M5&lt;=1.5,"vyynamenani",M5&lt;=2,"velmi dobry",M5&gt;=2,"prospel")</f>
        <v>vyynamenani</v>
      </c>
      <c r="R5" s="36"/>
      <c r="S5" s="37"/>
      <c r="T5" s="37"/>
      <c r="U5" s="36"/>
      <c r="V5" s="36"/>
      <c r="W5" s="35"/>
      <c r="X5" s="36"/>
      <c r="Y5" s="36"/>
      <c r="Z5" s="37"/>
      <c r="AA5" s="37"/>
      <c r="AB5" s="36"/>
      <c r="AC5" s="36"/>
      <c r="AD5" s="35"/>
    </row>
    <row r="6" spans="1:30" ht="16.5" thickBot="1">
      <c r="A6" s="12" t="s">
        <v>107</v>
      </c>
      <c r="B6" s="13">
        <v>1</v>
      </c>
      <c r="C6" s="14">
        <v>1</v>
      </c>
      <c r="D6" s="15">
        <v>1</v>
      </c>
      <c r="E6" s="15">
        <v>1</v>
      </c>
      <c r="F6" s="15">
        <v>1</v>
      </c>
      <c r="G6" s="15">
        <v>1</v>
      </c>
      <c r="H6" s="15">
        <v>1</v>
      </c>
      <c r="I6" s="15">
        <v>3</v>
      </c>
      <c r="J6" s="15">
        <v>1</v>
      </c>
      <c r="K6" s="15">
        <v>1</v>
      </c>
      <c r="L6" s="16">
        <v>1</v>
      </c>
      <c r="M6" s="24">
        <f t="shared" ref="M6:M14" si="0">AVERAGE(B6:L6)</f>
        <v>1.1818181818181819</v>
      </c>
      <c r="N6" s="11" t="str" cm="1">
        <f t="array" ref="N6">_xlfn.IFS(MAX(B6:L6)=5,"neprospel",M6&lt;=1.5,"vyynamenani",M6&lt;=2,"velmi dobry",M6&gt;=2,"prospel")</f>
        <v>vyynamenani</v>
      </c>
      <c r="R6" s="36"/>
      <c r="S6" s="37"/>
      <c r="T6" s="37"/>
      <c r="U6" s="36"/>
      <c r="V6" s="36"/>
      <c r="W6" s="36"/>
      <c r="X6" s="36"/>
      <c r="Y6" s="36"/>
      <c r="Z6" s="37"/>
      <c r="AA6" s="37"/>
      <c r="AB6" s="36"/>
      <c r="AC6" s="36"/>
      <c r="AD6" s="35"/>
    </row>
    <row r="7" spans="1:30" ht="16.5" thickBot="1">
      <c r="A7" s="12" t="s">
        <v>212</v>
      </c>
      <c r="B7" s="13">
        <v>2</v>
      </c>
      <c r="C7" s="14">
        <v>1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  <c r="I7" s="15">
        <v>1</v>
      </c>
      <c r="J7" s="15">
        <v>1</v>
      </c>
      <c r="K7" s="15">
        <v>1</v>
      </c>
      <c r="L7" s="16">
        <v>1</v>
      </c>
      <c r="M7" s="24">
        <f t="shared" si="0"/>
        <v>1.0909090909090908</v>
      </c>
      <c r="N7" s="11" t="str" cm="1">
        <f t="array" ref="N7">_xlfn.IFS(MAX(B7:L7)=5,"neprospel",M7&lt;=1.5,"vyynamenani",M7&lt;=2,"velmi dobry",M7&gt;=2,"prospel")</f>
        <v>vyynamenani</v>
      </c>
      <c r="R7" s="36"/>
      <c r="S7" s="37"/>
      <c r="T7" s="37"/>
      <c r="U7" s="35"/>
      <c r="V7" s="36"/>
      <c r="W7" s="36"/>
      <c r="X7" s="36"/>
      <c r="Y7" s="35"/>
      <c r="Z7" s="37"/>
      <c r="AA7" s="37"/>
      <c r="AB7" s="36"/>
      <c r="AC7" s="36"/>
      <c r="AD7" s="35"/>
    </row>
    <row r="8" spans="1:30" ht="16.5" thickBot="1">
      <c r="A8" s="12" t="s">
        <v>213</v>
      </c>
      <c r="B8" s="13">
        <v>1</v>
      </c>
      <c r="C8" s="14">
        <v>1</v>
      </c>
      <c r="D8" s="15">
        <v>1</v>
      </c>
      <c r="E8" s="15">
        <v>1</v>
      </c>
      <c r="F8" s="15">
        <v>1</v>
      </c>
      <c r="G8" s="15">
        <v>5</v>
      </c>
      <c r="H8" s="15">
        <v>1</v>
      </c>
      <c r="I8" s="15">
        <v>1</v>
      </c>
      <c r="J8" s="15">
        <v>1</v>
      </c>
      <c r="K8" s="15">
        <v>1</v>
      </c>
      <c r="L8" s="16">
        <v>1</v>
      </c>
      <c r="M8" s="24">
        <f t="shared" si="0"/>
        <v>1.3636363636363635</v>
      </c>
      <c r="N8" s="11" t="str" cm="1">
        <f t="array" ref="N8">_xlfn.IFS(MAX(B8:L8)=5,"neprospel",M8&lt;=1.5,"vyynamenani",M8&lt;=2,"velmi dobry",M8&gt;=2,"prospel")</f>
        <v>neprospel</v>
      </c>
      <c r="R8" s="36"/>
      <c r="S8" s="36"/>
      <c r="T8" s="36"/>
      <c r="U8" s="36"/>
      <c r="V8" s="35"/>
      <c r="W8" s="35"/>
      <c r="X8" s="35"/>
      <c r="Y8" s="36"/>
      <c r="Z8" s="36"/>
      <c r="AA8" s="36"/>
      <c r="AB8" s="36"/>
      <c r="AC8" s="36"/>
      <c r="AD8" s="35"/>
    </row>
    <row r="9" spans="1:30" ht="16.5" thickBot="1">
      <c r="A9" s="12" t="s">
        <v>177</v>
      </c>
      <c r="B9" s="13">
        <v>1</v>
      </c>
      <c r="C9" s="14">
        <v>4</v>
      </c>
      <c r="D9" s="15">
        <v>5</v>
      </c>
      <c r="E9" s="15">
        <v>4</v>
      </c>
      <c r="F9" s="15">
        <v>2</v>
      </c>
      <c r="G9" s="15">
        <v>4</v>
      </c>
      <c r="H9" s="15">
        <v>3</v>
      </c>
      <c r="I9" s="15">
        <v>4</v>
      </c>
      <c r="J9" s="15">
        <v>2</v>
      </c>
      <c r="K9" s="15">
        <v>3</v>
      </c>
      <c r="L9" s="16">
        <v>2</v>
      </c>
      <c r="M9" s="24">
        <f t="shared" si="0"/>
        <v>3.0909090909090908</v>
      </c>
      <c r="N9" s="11" t="str" cm="1">
        <f t="array" ref="N9">_xlfn.IFS(MAX(B9:L9)=5,"neprospel",M9&lt;=1.5,"vyynamenani",M9&lt;=2,"velmi dobry",M9&gt;=2,"prospel")</f>
        <v>neprospel</v>
      </c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5"/>
    </row>
    <row r="10" spans="1:30" ht="16.5" thickBot="1">
      <c r="A10" s="12" t="s">
        <v>55</v>
      </c>
      <c r="B10" s="13">
        <v>3</v>
      </c>
      <c r="C10" s="14">
        <v>1</v>
      </c>
      <c r="D10" s="15">
        <v>2</v>
      </c>
      <c r="E10" s="15">
        <v>1</v>
      </c>
      <c r="F10" s="15">
        <v>2</v>
      </c>
      <c r="G10" s="15">
        <v>1</v>
      </c>
      <c r="H10" s="15">
        <v>2</v>
      </c>
      <c r="I10" s="15">
        <v>1</v>
      </c>
      <c r="J10" s="15">
        <v>1</v>
      </c>
      <c r="K10" s="15">
        <v>1</v>
      </c>
      <c r="L10" s="16">
        <v>2</v>
      </c>
      <c r="M10" s="24">
        <f t="shared" si="0"/>
        <v>1.5454545454545454</v>
      </c>
      <c r="N10" s="11" t="str" cm="1">
        <f t="array" ref="N10">_xlfn.IFS(MAX(B10:L10)=5,"neprospel",M10&lt;=1.5,"vyynamenani",M10&lt;=2,"velmi dobry",M10&gt;=2,"prospel")</f>
        <v>velmi dobry</v>
      </c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5"/>
    </row>
    <row r="11" spans="1:30" ht="16.5" thickBot="1">
      <c r="A11" s="12" t="s">
        <v>173</v>
      </c>
      <c r="B11" s="13">
        <v>1</v>
      </c>
      <c r="C11" s="14">
        <v>2</v>
      </c>
      <c r="D11" s="15">
        <v>3</v>
      </c>
      <c r="E11" s="15">
        <v>1</v>
      </c>
      <c r="F11" s="15">
        <v>2</v>
      </c>
      <c r="G11" s="15">
        <v>1</v>
      </c>
      <c r="H11" s="15">
        <v>4</v>
      </c>
      <c r="I11" s="15">
        <v>1</v>
      </c>
      <c r="J11" s="15">
        <v>1</v>
      </c>
      <c r="K11" s="15">
        <v>1</v>
      </c>
      <c r="L11" s="16">
        <v>1</v>
      </c>
      <c r="M11" s="24">
        <f t="shared" si="0"/>
        <v>1.6363636363636365</v>
      </c>
      <c r="N11" s="11" t="str" cm="1">
        <f t="array" ref="N11">_xlfn.IFS(MAX(B11:L11)=5,"neprospel",M11&lt;=1.5,"vyynamenani",M11&lt;=2,"velmi dobry",M11&gt;=2,"prospel")</f>
        <v>velmi dobry</v>
      </c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5"/>
    </row>
    <row r="12" spans="1:30" ht="16.5" thickBot="1">
      <c r="A12" s="12" t="s">
        <v>188</v>
      </c>
      <c r="B12" s="13">
        <v>1</v>
      </c>
      <c r="C12" s="14">
        <v>1</v>
      </c>
      <c r="D12" s="15">
        <v>1</v>
      </c>
      <c r="E12" s="15">
        <v>1</v>
      </c>
      <c r="F12" s="15">
        <v>1</v>
      </c>
      <c r="G12" s="15">
        <v>2</v>
      </c>
      <c r="H12" s="15">
        <v>1</v>
      </c>
      <c r="I12" s="15">
        <v>1</v>
      </c>
      <c r="J12" s="15">
        <v>1</v>
      </c>
      <c r="K12" s="15">
        <v>1</v>
      </c>
      <c r="L12" s="16">
        <v>1</v>
      </c>
      <c r="M12" s="24">
        <f t="shared" si="0"/>
        <v>1.0909090909090908</v>
      </c>
      <c r="N12" s="11" t="str" cm="1">
        <f t="array" ref="N12">_xlfn.IFS(MAX(B12:L12)=5,"neprospel",M12&lt;=1.5,"vyynamenani",M12&lt;=2,"velmi dobry",M12&gt;=2,"prospel")</f>
        <v>vyynamenani</v>
      </c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5"/>
    </row>
    <row r="13" spans="1:30" ht="16.5" thickBot="1">
      <c r="A13" s="12" t="s">
        <v>46</v>
      </c>
      <c r="B13" s="13">
        <v>1</v>
      </c>
      <c r="C13" s="14">
        <v>2</v>
      </c>
      <c r="D13" s="15">
        <v>2</v>
      </c>
      <c r="E13" s="15">
        <v>4</v>
      </c>
      <c r="F13" s="15">
        <v>2</v>
      </c>
      <c r="G13" s="15">
        <v>2</v>
      </c>
      <c r="H13" s="15">
        <v>4</v>
      </c>
      <c r="I13" s="15">
        <v>2</v>
      </c>
      <c r="J13" s="15">
        <v>2</v>
      </c>
      <c r="K13" s="15">
        <v>2</v>
      </c>
      <c r="L13" s="16">
        <v>1</v>
      </c>
      <c r="M13" s="24">
        <f t="shared" si="0"/>
        <v>2.1818181818181817</v>
      </c>
      <c r="N13" s="11" t="str" cm="1">
        <f t="array" ref="N13">_xlfn.IFS(MAX(B13:L13)=5,"neprospel",M13&lt;=1.5,"vyynamenani",M13&lt;=2,"velmi dobry",M13&gt;=2,"prospel")</f>
        <v>prospel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5"/>
    </row>
    <row r="14" spans="1:30" ht="16.5" thickBot="1">
      <c r="A14" s="17" t="s">
        <v>105</v>
      </c>
      <c r="B14" s="18">
        <v>1</v>
      </c>
      <c r="C14" s="19">
        <v>5</v>
      </c>
      <c r="D14" s="20">
        <v>5</v>
      </c>
      <c r="E14" s="20">
        <v>5</v>
      </c>
      <c r="F14" s="20">
        <v>5</v>
      </c>
      <c r="G14" s="20">
        <v>4</v>
      </c>
      <c r="H14" s="20">
        <v>5</v>
      </c>
      <c r="I14" s="20">
        <v>5</v>
      </c>
      <c r="J14" s="20">
        <v>5</v>
      </c>
      <c r="K14" s="20">
        <v>5</v>
      </c>
      <c r="L14" s="21">
        <v>5</v>
      </c>
      <c r="M14" s="24">
        <f t="shared" si="0"/>
        <v>4.5454545454545459</v>
      </c>
      <c r="N14" s="11" t="str" cm="1">
        <f t="array" ref="N14">_xlfn.IFS(MAX(B14:L14)=5,"neprospel",M14&lt;=1.5,"vyynamenani",M14&lt;=2,"velmi dobry",M14&gt;=2,"prospel")</f>
        <v>neprospel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5"/>
    </row>
    <row r="15" spans="1:30"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5"/>
    </row>
    <row r="16" spans="1:30">
      <c r="J16" s="22"/>
      <c r="K16" s="22"/>
      <c r="L16" s="22"/>
      <c r="M16" s="22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5"/>
    </row>
    <row r="17" spans="10:30">
      <c r="J17" s="22"/>
      <c r="K17" s="22"/>
      <c r="L17" s="22"/>
      <c r="M17" s="22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</row>
    <row r="18" spans="10:30"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</row>
    <row r="19" spans="10:30"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</row>
    <row r="20" spans="10:30"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</row>
    <row r="21" spans="10:30"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</row>
  </sheetData>
  <mergeCells count="4">
    <mergeCell ref="A3:A4"/>
    <mergeCell ref="B3:L3"/>
    <mergeCell ref="M3:M4"/>
    <mergeCell ref="N3:N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3B23-0A65-4EEF-B555-21B8331CBAC9}">
  <dimension ref="A1:I102"/>
  <sheetViews>
    <sheetView tabSelected="1" workbookViewId="0">
      <selection activeCell="I4" sqref="I4"/>
    </sheetView>
  </sheetViews>
  <sheetFormatPr defaultRowHeight="15"/>
  <cols>
    <col min="1" max="1" width="10.42578125" customWidth="1"/>
    <col min="6" max="6" width="14.85546875" customWidth="1"/>
    <col min="7" max="7" width="9.7109375" customWidth="1"/>
    <col min="9" max="9" width="11.28515625" customWidth="1"/>
  </cols>
  <sheetData>
    <row r="1" spans="1:9" ht="23.25">
      <c r="A1" s="1" t="s">
        <v>0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>
      <c r="A4" t="s">
        <v>10</v>
      </c>
      <c r="B4" t="s">
        <v>11</v>
      </c>
      <c r="C4">
        <v>97</v>
      </c>
      <c r="D4">
        <v>95</v>
      </c>
      <c r="E4">
        <v>52</v>
      </c>
      <c r="F4">
        <f>SUM(Tabulka13[[#This Row],[ČJ]:[M]])</f>
        <v>244</v>
      </c>
      <c r="G4" s="25">
        <f>AVERAGE(Tabulka13[[#This Row],[ČJ]:[M]])</f>
        <v>81.333333333333329</v>
      </c>
      <c r="H4">
        <f>RANK(Tabulka13[[#This Row],[Celkem bodů]],Tabulka13[Celkem bodů])</f>
        <v>2</v>
      </c>
      <c r="I4" t="str">
        <f>IF(Tabulka13[[#This Row],[Celkem bodů]]&gt;=150,IF(Tabulka13[[#This Row],[Pořadí]]&lt;=30,"prijat","neprijat"),"neprijat")</f>
        <v>prijat</v>
      </c>
    </row>
    <row r="5" spans="1:9">
      <c r="A5" t="s">
        <v>12</v>
      </c>
      <c r="B5" t="s">
        <v>13</v>
      </c>
      <c r="C5">
        <v>60</v>
      </c>
      <c r="D5">
        <v>3</v>
      </c>
      <c r="E5">
        <v>10</v>
      </c>
      <c r="F5">
        <f>SUM(Tabulka13[[#This Row],[ČJ]:[M]])</f>
        <v>73</v>
      </c>
      <c r="G5" s="25">
        <f>AVERAGE(Tabulka13[[#This Row],[ČJ]:[M]])</f>
        <v>24.333333333333332</v>
      </c>
      <c r="H5">
        <f>RANK(Tabulka13[[#This Row],[Celkem bodů]],Tabulka13[Celkem bodů])</f>
        <v>88</v>
      </c>
      <c r="I5" t="str">
        <f>IF(Tabulka13[[#This Row],[Celkem bodů]]&gt;=150,IF(Tabulka13[[#This Row],[Pořadí]]&lt;=30,"prijat","neprijat"),"neprijat")</f>
        <v>neprijat</v>
      </c>
    </row>
    <row r="6" spans="1:9">
      <c r="A6" t="s">
        <v>14</v>
      </c>
      <c r="B6" t="s">
        <v>15</v>
      </c>
      <c r="C6">
        <v>12</v>
      </c>
      <c r="D6">
        <v>31</v>
      </c>
      <c r="E6">
        <v>87</v>
      </c>
      <c r="F6">
        <f>SUM(Tabulka13[[#This Row],[ČJ]:[M]])</f>
        <v>130</v>
      </c>
      <c r="G6" s="25">
        <f>AVERAGE(Tabulka13[[#This Row],[ČJ]:[M]])</f>
        <v>43.333333333333336</v>
      </c>
      <c r="H6">
        <f>RANK(Tabulka13[[#This Row],[Celkem bodů]],Tabulka13[Celkem bodů])</f>
        <v>56</v>
      </c>
      <c r="I6" t="str">
        <f>IF(Tabulka13[[#This Row],[Celkem bodů]]&gt;=150,IF(Tabulka13[[#This Row],[Pořadí]]&lt;=30,"prijat","neprijat"),"neprijat")</f>
        <v>neprijat</v>
      </c>
    </row>
    <row r="7" spans="1:9">
      <c r="A7" t="s">
        <v>16</v>
      </c>
      <c r="B7" t="s">
        <v>15</v>
      </c>
      <c r="C7">
        <v>20</v>
      </c>
      <c r="D7">
        <v>84</v>
      </c>
      <c r="E7">
        <v>67</v>
      </c>
      <c r="F7">
        <f>SUM(Tabulka13[[#This Row],[ČJ]:[M]])</f>
        <v>171</v>
      </c>
      <c r="G7" s="25">
        <f>AVERAGE(Tabulka13[[#This Row],[ČJ]:[M]])</f>
        <v>57</v>
      </c>
      <c r="H7">
        <f>RANK(Tabulka13[[#This Row],[Celkem bodů]],Tabulka13[Celkem bodů])</f>
        <v>28</v>
      </c>
      <c r="I7" t="str">
        <f>IF(Tabulka13[[#This Row],[Celkem bodů]]&gt;=150,IF(Tabulka13[[#This Row],[Pořadí]]&lt;=30,"prijat","neprijat"),"neprijat")</f>
        <v>prijat</v>
      </c>
    </row>
    <row r="8" spans="1:9">
      <c r="A8" t="s">
        <v>17</v>
      </c>
      <c r="B8" t="s">
        <v>18</v>
      </c>
      <c r="C8">
        <v>86</v>
      </c>
      <c r="D8">
        <v>11</v>
      </c>
      <c r="E8">
        <v>98</v>
      </c>
      <c r="F8">
        <f>SUM(Tabulka13[[#This Row],[ČJ]:[M]])</f>
        <v>195</v>
      </c>
      <c r="G8" s="25">
        <f>AVERAGE(Tabulka13[[#This Row],[ČJ]:[M]])</f>
        <v>65</v>
      </c>
      <c r="H8">
        <f>RANK(Tabulka13[[#This Row],[Celkem bodů]],Tabulka13[Celkem bodů])</f>
        <v>11</v>
      </c>
      <c r="I8" t="str">
        <f>IF(Tabulka13[[#This Row],[Celkem bodů]]&gt;=150,IF(Tabulka13[[#This Row],[Pořadí]]&lt;=30,"prijat","neprijat"),"neprijat")</f>
        <v>prijat</v>
      </c>
    </row>
    <row r="9" spans="1:9">
      <c r="A9" t="s">
        <v>19</v>
      </c>
      <c r="B9" t="s">
        <v>20</v>
      </c>
      <c r="C9">
        <v>86</v>
      </c>
      <c r="D9">
        <v>54</v>
      </c>
      <c r="E9">
        <v>24</v>
      </c>
      <c r="F9">
        <f>SUM(Tabulka13[[#This Row],[ČJ]:[M]])</f>
        <v>164</v>
      </c>
      <c r="G9" s="25">
        <f>AVERAGE(Tabulka13[[#This Row],[ČJ]:[M]])</f>
        <v>54.666666666666664</v>
      </c>
      <c r="H9">
        <f>RANK(Tabulka13[[#This Row],[Celkem bodů]],Tabulka13[Celkem bodů])</f>
        <v>33</v>
      </c>
      <c r="I9" t="str">
        <f>IF(Tabulka13[[#This Row],[Celkem bodů]]&gt;=150,IF(Tabulka13[[#This Row],[Pořadí]]&lt;=30,"prijat","neprijat"),"neprijat")</f>
        <v>neprijat</v>
      </c>
    </row>
    <row r="10" spans="1:9">
      <c r="A10" t="s">
        <v>21</v>
      </c>
      <c r="B10" t="s">
        <v>22</v>
      </c>
      <c r="C10">
        <v>10</v>
      </c>
      <c r="D10">
        <v>17</v>
      </c>
      <c r="E10">
        <v>19</v>
      </c>
      <c r="F10">
        <f>SUM(Tabulka13[[#This Row],[ČJ]:[M]])</f>
        <v>46</v>
      </c>
      <c r="G10" s="25">
        <f>AVERAGE(Tabulka13[[#This Row],[ČJ]:[M]])</f>
        <v>15.333333333333334</v>
      </c>
      <c r="H10">
        <f>RANK(Tabulka13[[#This Row],[Celkem bodů]],Tabulka13[Celkem bodů])</f>
        <v>94</v>
      </c>
      <c r="I10" t="str">
        <f>IF(Tabulka13[[#This Row],[Celkem bodů]]&gt;=150,IF(Tabulka13[[#This Row],[Pořadí]]&lt;=30,"prijat","neprijat"),"neprijat")</f>
        <v>neprijat</v>
      </c>
    </row>
    <row r="11" spans="1:9">
      <c r="A11" t="s">
        <v>23</v>
      </c>
      <c r="B11" t="s">
        <v>24</v>
      </c>
      <c r="C11">
        <v>72</v>
      </c>
      <c r="D11">
        <v>48</v>
      </c>
      <c r="E11">
        <v>15</v>
      </c>
      <c r="F11">
        <f>SUM(Tabulka13[[#This Row],[ČJ]:[M]])</f>
        <v>135</v>
      </c>
      <c r="G11" s="25">
        <f>AVERAGE(Tabulka13[[#This Row],[ČJ]:[M]])</f>
        <v>45</v>
      </c>
      <c r="H11">
        <f>RANK(Tabulka13[[#This Row],[Celkem bodů]],Tabulka13[Celkem bodů])</f>
        <v>51</v>
      </c>
      <c r="I11" t="str">
        <f>IF(Tabulka13[[#This Row],[Celkem bodů]]&gt;=150,IF(Tabulka13[[#This Row],[Pořadí]]&lt;=30,"prijat","neprijat"),"neprijat")</f>
        <v>neprijat</v>
      </c>
    </row>
    <row r="12" spans="1:9">
      <c r="A12" t="s">
        <v>25</v>
      </c>
      <c r="B12" t="s">
        <v>26</v>
      </c>
      <c r="C12">
        <v>72</v>
      </c>
      <c r="D12">
        <v>36</v>
      </c>
      <c r="E12">
        <v>16</v>
      </c>
      <c r="F12">
        <f>SUM(Tabulka13[[#This Row],[ČJ]:[M]])</f>
        <v>124</v>
      </c>
      <c r="G12" s="25">
        <f>AVERAGE(Tabulka13[[#This Row],[ČJ]:[M]])</f>
        <v>41.333333333333336</v>
      </c>
      <c r="H12">
        <f>RANK(Tabulka13[[#This Row],[Celkem bodů]],Tabulka13[Celkem bodů])</f>
        <v>63</v>
      </c>
      <c r="I12" t="str">
        <f>IF(Tabulka13[[#This Row],[Celkem bodů]]&gt;=150,IF(Tabulka13[[#This Row],[Pořadí]]&lt;=30,"prijat","neprijat"),"neprijat")</f>
        <v>neprijat</v>
      </c>
    </row>
    <row r="13" spans="1:9">
      <c r="A13" t="s">
        <v>27</v>
      </c>
      <c r="B13" t="s">
        <v>28</v>
      </c>
      <c r="C13">
        <v>12</v>
      </c>
      <c r="D13">
        <v>18</v>
      </c>
      <c r="E13">
        <v>0</v>
      </c>
      <c r="F13">
        <f>SUM(Tabulka13[[#This Row],[ČJ]:[M]])</f>
        <v>30</v>
      </c>
      <c r="G13" s="25">
        <f>AVERAGE(Tabulka13[[#This Row],[ČJ]:[M]])</f>
        <v>10</v>
      </c>
      <c r="H13">
        <f>RANK(Tabulka13[[#This Row],[Celkem bodů]],Tabulka13[Celkem bodů])</f>
        <v>96</v>
      </c>
      <c r="I13" t="str">
        <f>IF(Tabulka13[[#This Row],[Celkem bodů]]&gt;=150,IF(Tabulka13[[#This Row],[Pořadí]]&lt;=30,"prijat","neprijat"),"neprijat")</f>
        <v>neprijat</v>
      </c>
    </row>
    <row r="14" spans="1:9">
      <c r="A14" t="s">
        <v>29</v>
      </c>
      <c r="B14" t="s">
        <v>30</v>
      </c>
      <c r="C14">
        <v>21</v>
      </c>
      <c r="D14">
        <v>0</v>
      </c>
      <c r="E14">
        <v>9</v>
      </c>
      <c r="F14">
        <f>SUM(Tabulka13[[#This Row],[ČJ]:[M]])</f>
        <v>30</v>
      </c>
      <c r="G14" s="25">
        <f>AVERAGE(Tabulka13[[#This Row],[ČJ]:[M]])</f>
        <v>10</v>
      </c>
      <c r="H14">
        <f>RANK(Tabulka13[[#This Row],[Celkem bodů]],Tabulka13[Celkem bodů])</f>
        <v>96</v>
      </c>
      <c r="I14" t="str">
        <f>IF(Tabulka13[[#This Row],[Celkem bodů]]&gt;=150,IF(Tabulka13[[#This Row],[Pořadí]]&lt;=30,"prijat","neprijat"),"neprijat")</f>
        <v>neprijat</v>
      </c>
    </row>
    <row r="15" spans="1:9">
      <c r="A15" t="s">
        <v>31</v>
      </c>
      <c r="B15" t="s">
        <v>32</v>
      </c>
      <c r="C15">
        <v>73</v>
      </c>
      <c r="D15">
        <v>70</v>
      </c>
      <c r="E15">
        <v>30</v>
      </c>
      <c r="F15">
        <f>SUM(Tabulka13[[#This Row],[ČJ]:[M]])</f>
        <v>173</v>
      </c>
      <c r="G15" s="25">
        <f>AVERAGE(Tabulka13[[#This Row],[ČJ]:[M]])</f>
        <v>57.666666666666664</v>
      </c>
      <c r="H15">
        <f>RANK(Tabulka13[[#This Row],[Celkem bodů]],Tabulka13[Celkem bodů])</f>
        <v>24</v>
      </c>
      <c r="I15" t="str">
        <f>IF(Tabulka13[[#This Row],[Celkem bodů]]&gt;=150,IF(Tabulka13[[#This Row],[Pořadí]]&lt;=30,"prijat","neprijat"),"neprijat")</f>
        <v>prijat</v>
      </c>
    </row>
    <row r="16" spans="1:9">
      <c r="A16" t="s">
        <v>33</v>
      </c>
      <c r="B16" t="s">
        <v>34</v>
      </c>
      <c r="C16">
        <v>32</v>
      </c>
      <c r="D16">
        <v>93</v>
      </c>
      <c r="E16">
        <v>41</v>
      </c>
      <c r="F16">
        <f>SUM(Tabulka13[[#This Row],[ČJ]:[M]])</f>
        <v>166</v>
      </c>
      <c r="G16" s="25">
        <f>AVERAGE(Tabulka13[[#This Row],[ČJ]:[M]])</f>
        <v>55.333333333333336</v>
      </c>
      <c r="H16">
        <f>RANK(Tabulka13[[#This Row],[Celkem bodů]],Tabulka13[Celkem bodů])</f>
        <v>31</v>
      </c>
      <c r="I16" t="str">
        <f>IF(Tabulka13[[#This Row],[Celkem bodů]]&gt;=150,IF(Tabulka13[[#This Row],[Pořadí]]&lt;=30,"prijat","neprijat"),"neprijat")</f>
        <v>neprijat</v>
      </c>
    </row>
    <row r="17" spans="1:9">
      <c r="A17" t="s">
        <v>35</v>
      </c>
      <c r="B17" t="s">
        <v>36</v>
      </c>
      <c r="C17">
        <v>83</v>
      </c>
      <c r="D17">
        <v>12</v>
      </c>
      <c r="E17">
        <v>30</v>
      </c>
      <c r="F17">
        <f>SUM(Tabulka13[[#This Row],[ČJ]:[M]])</f>
        <v>125</v>
      </c>
      <c r="G17" s="25">
        <f>AVERAGE(Tabulka13[[#This Row],[ČJ]:[M]])</f>
        <v>41.666666666666664</v>
      </c>
      <c r="H17">
        <f>RANK(Tabulka13[[#This Row],[Celkem bodů]],Tabulka13[Celkem bodů])</f>
        <v>61</v>
      </c>
      <c r="I17" t="str">
        <f>IF(Tabulka13[[#This Row],[Celkem bodů]]&gt;=150,IF(Tabulka13[[#This Row],[Pořadí]]&lt;=30,"prijat","neprijat"),"neprijat")</f>
        <v>neprijat</v>
      </c>
    </row>
    <row r="18" spans="1:9">
      <c r="A18" t="s">
        <v>37</v>
      </c>
      <c r="B18" t="s">
        <v>38</v>
      </c>
      <c r="C18">
        <v>5</v>
      </c>
      <c r="D18">
        <v>23</v>
      </c>
      <c r="E18">
        <v>28</v>
      </c>
      <c r="F18">
        <f>SUM(Tabulka13[[#This Row],[ČJ]:[M]])</f>
        <v>56</v>
      </c>
      <c r="G18" s="25">
        <f>AVERAGE(Tabulka13[[#This Row],[ČJ]:[M]])</f>
        <v>18.666666666666668</v>
      </c>
      <c r="H18">
        <f>RANK(Tabulka13[[#This Row],[Celkem bodů]],Tabulka13[Celkem bodů])</f>
        <v>92</v>
      </c>
      <c r="I18" t="str">
        <f>IF(Tabulka13[[#This Row],[Celkem bodů]]&gt;=150,IF(Tabulka13[[#This Row],[Pořadí]]&lt;=30,"prijat","neprijat"),"neprijat")</f>
        <v>neprijat</v>
      </c>
    </row>
    <row r="19" spans="1:9">
      <c r="A19" t="s">
        <v>39</v>
      </c>
      <c r="B19" t="s">
        <v>40</v>
      </c>
      <c r="C19">
        <v>8</v>
      </c>
      <c r="D19">
        <v>1</v>
      </c>
      <c r="E19">
        <v>16</v>
      </c>
      <c r="F19">
        <f>SUM(Tabulka13[[#This Row],[ČJ]:[M]])</f>
        <v>25</v>
      </c>
      <c r="G19" s="25">
        <f>AVERAGE(Tabulka13[[#This Row],[ČJ]:[M]])</f>
        <v>8.3333333333333339</v>
      </c>
      <c r="H19">
        <f>RANK(Tabulka13[[#This Row],[Celkem bodů]],Tabulka13[Celkem bodů])</f>
        <v>98</v>
      </c>
      <c r="I19" t="str">
        <f>IF(Tabulka13[[#This Row],[Celkem bodů]]&gt;=150,IF(Tabulka13[[#This Row],[Pořadí]]&lt;=30,"prijat","neprijat"),"neprijat")</f>
        <v>neprijat</v>
      </c>
    </row>
    <row r="20" spans="1:9">
      <c r="A20" t="s">
        <v>41</v>
      </c>
      <c r="B20" t="s">
        <v>42</v>
      </c>
      <c r="C20">
        <v>36</v>
      </c>
      <c r="D20">
        <v>86</v>
      </c>
      <c r="E20">
        <v>13</v>
      </c>
      <c r="F20">
        <f>SUM(Tabulka13[[#This Row],[ČJ]:[M]])</f>
        <v>135</v>
      </c>
      <c r="G20" s="25">
        <f>AVERAGE(Tabulka13[[#This Row],[ČJ]:[M]])</f>
        <v>45</v>
      </c>
      <c r="H20">
        <f>RANK(Tabulka13[[#This Row],[Celkem bodů]],Tabulka13[Celkem bodů])</f>
        <v>51</v>
      </c>
      <c r="I20" t="str">
        <f>IF(Tabulka13[[#This Row],[Celkem bodů]]&gt;=150,IF(Tabulka13[[#This Row],[Pořadí]]&lt;=30,"prijat","neprijat"),"neprijat")</f>
        <v>neprijat</v>
      </c>
    </row>
    <row r="21" spans="1:9">
      <c r="A21" t="s">
        <v>43</v>
      </c>
      <c r="B21" t="s">
        <v>44</v>
      </c>
      <c r="C21">
        <v>92</v>
      </c>
      <c r="D21">
        <v>57</v>
      </c>
      <c r="E21">
        <v>60</v>
      </c>
      <c r="F21">
        <f>SUM(Tabulka13[[#This Row],[ČJ]:[M]])</f>
        <v>209</v>
      </c>
      <c r="G21" s="25">
        <f>AVERAGE(Tabulka13[[#This Row],[ČJ]:[M]])</f>
        <v>69.666666666666671</v>
      </c>
      <c r="H21">
        <f>RANK(Tabulka13[[#This Row],[Celkem bodů]],Tabulka13[Celkem bodů])</f>
        <v>8</v>
      </c>
      <c r="I21" t="str">
        <f>IF(Tabulka13[[#This Row],[Celkem bodů]]&gt;=150,IF(Tabulka13[[#This Row],[Pořadí]]&lt;=30,"prijat","neprijat"),"neprijat")</f>
        <v>prijat</v>
      </c>
    </row>
    <row r="22" spans="1:9">
      <c r="A22" t="s">
        <v>45</v>
      </c>
      <c r="B22" t="s">
        <v>46</v>
      </c>
      <c r="C22">
        <v>60</v>
      </c>
      <c r="D22">
        <v>57</v>
      </c>
      <c r="E22">
        <v>0</v>
      </c>
      <c r="F22">
        <f>SUM(Tabulka13[[#This Row],[ČJ]:[M]])</f>
        <v>117</v>
      </c>
      <c r="G22" s="25">
        <f>AVERAGE(Tabulka13[[#This Row],[ČJ]:[M]])</f>
        <v>39</v>
      </c>
      <c r="H22">
        <f>RANK(Tabulka13[[#This Row],[Celkem bodů]],Tabulka13[Celkem bodů])</f>
        <v>66</v>
      </c>
      <c r="I22" t="str">
        <f>IF(Tabulka13[[#This Row],[Celkem bodů]]&gt;=150,IF(Tabulka13[[#This Row],[Pořadí]]&lt;=30,"prijat","neprijat"),"neprijat")</f>
        <v>neprijat</v>
      </c>
    </row>
    <row r="23" spans="1:9">
      <c r="A23" t="s">
        <v>47</v>
      </c>
      <c r="B23" t="s">
        <v>48</v>
      </c>
      <c r="C23">
        <v>66</v>
      </c>
      <c r="D23">
        <v>75</v>
      </c>
      <c r="E23">
        <v>85</v>
      </c>
      <c r="F23">
        <f>SUM(Tabulka13[[#This Row],[ČJ]:[M]])</f>
        <v>226</v>
      </c>
      <c r="G23" s="25">
        <f>AVERAGE(Tabulka13[[#This Row],[ČJ]:[M]])</f>
        <v>75.333333333333329</v>
      </c>
      <c r="H23">
        <f>RANK(Tabulka13[[#This Row],[Celkem bodů]],Tabulka13[Celkem bodů])</f>
        <v>4</v>
      </c>
      <c r="I23" t="str">
        <f>IF(Tabulka13[[#This Row],[Celkem bodů]]&gt;=150,IF(Tabulka13[[#This Row],[Pořadí]]&lt;=30,"prijat","neprijat"),"neprijat")</f>
        <v>prijat</v>
      </c>
    </row>
    <row r="24" spans="1:9">
      <c r="A24" t="s">
        <v>49</v>
      </c>
      <c r="B24" t="s">
        <v>50</v>
      </c>
      <c r="C24">
        <v>19</v>
      </c>
      <c r="D24">
        <v>2</v>
      </c>
      <c r="E24">
        <v>30</v>
      </c>
      <c r="F24">
        <f>SUM(Tabulka13[[#This Row],[ČJ]:[M]])</f>
        <v>51</v>
      </c>
      <c r="G24" s="25">
        <f>AVERAGE(Tabulka13[[#This Row],[ČJ]:[M]])</f>
        <v>17</v>
      </c>
      <c r="H24">
        <f>RANK(Tabulka13[[#This Row],[Celkem bodů]],Tabulka13[Celkem bodů])</f>
        <v>93</v>
      </c>
      <c r="I24" t="str">
        <f>IF(Tabulka13[[#This Row],[Celkem bodů]]&gt;=150,IF(Tabulka13[[#This Row],[Pořadí]]&lt;=30,"prijat","neprijat"),"neprijat")</f>
        <v>neprijat</v>
      </c>
    </row>
    <row r="25" spans="1:9">
      <c r="A25" t="s">
        <v>51</v>
      </c>
      <c r="B25" t="s">
        <v>52</v>
      </c>
      <c r="C25">
        <v>63</v>
      </c>
      <c r="D25">
        <v>14</v>
      </c>
      <c r="E25">
        <v>11</v>
      </c>
      <c r="F25">
        <f>SUM(Tabulka13[[#This Row],[ČJ]:[M]])</f>
        <v>88</v>
      </c>
      <c r="G25" s="25">
        <f>AVERAGE(Tabulka13[[#This Row],[ČJ]:[M]])</f>
        <v>29.333333333333332</v>
      </c>
      <c r="H25">
        <f>RANK(Tabulka13[[#This Row],[Celkem bodů]],Tabulka13[Celkem bodů])</f>
        <v>86</v>
      </c>
      <c r="I25" t="str">
        <f>IF(Tabulka13[[#This Row],[Celkem bodů]]&gt;=150,IF(Tabulka13[[#This Row],[Pořadí]]&lt;=30,"prijat","neprijat"),"neprijat")</f>
        <v>neprijat</v>
      </c>
    </row>
    <row r="26" spans="1:9">
      <c r="A26" t="s">
        <v>53</v>
      </c>
      <c r="B26" t="s">
        <v>54</v>
      </c>
      <c r="C26">
        <v>53</v>
      </c>
      <c r="D26">
        <v>70</v>
      </c>
      <c r="E26">
        <v>70</v>
      </c>
      <c r="F26">
        <f>SUM(Tabulka13[[#This Row],[ČJ]:[M]])</f>
        <v>193</v>
      </c>
      <c r="G26" s="25">
        <f>AVERAGE(Tabulka13[[#This Row],[ČJ]:[M]])</f>
        <v>64.333333333333329</v>
      </c>
      <c r="H26">
        <f>RANK(Tabulka13[[#This Row],[Celkem bodů]],Tabulka13[Celkem bodů])</f>
        <v>13</v>
      </c>
      <c r="I26" t="str">
        <f>IF(Tabulka13[[#This Row],[Celkem bodů]]&gt;=150,IF(Tabulka13[[#This Row],[Pořadí]]&lt;=30,"prijat","neprijat"),"neprijat")</f>
        <v>prijat</v>
      </c>
    </row>
    <row r="27" spans="1:9">
      <c r="A27" t="s">
        <v>23</v>
      </c>
      <c r="B27" t="s">
        <v>55</v>
      </c>
      <c r="C27">
        <v>3</v>
      </c>
      <c r="D27">
        <v>83</v>
      </c>
      <c r="E27">
        <v>72</v>
      </c>
      <c r="F27">
        <f>SUM(Tabulka13[[#This Row],[ČJ]:[M]])</f>
        <v>158</v>
      </c>
      <c r="G27" s="25">
        <f>AVERAGE(Tabulka13[[#This Row],[ČJ]:[M]])</f>
        <v>52.666666666666664</v>
      </c>
      <c r="H27">
        <f>RANK(Tabulka13[[#This Row],[Celkem bodů]],Tabulka13[Celkem bodů])</f>
        <v>38</v>
      </c>
      <c r="I27" t="str">
        <f>IF(Tabulka13[[#This Row],[Celkem bodů]]&gt;=150,IF(Tabulka13[[#This Row],[Pořadí]]&lt;=30,"prijat","neprijat"),"neprijat")</f>
        <v>neprijat</v>
      </c>
    </row>
    <row r="28" spans="1:9">
      <c r="A28" t="s">
        <v>25</v>
      </c>
      <c r="B28" t="s">
        <v>56</v>
      </c>
      <c r="C28">
        <v>63</v>
      </c>
      <c r="D28">
        <v>15</v>
      </c>
      <c r="E28">
        <v>28</v>
      </c>
      <c r="F28">
        <f>SUM(Tabulka13[[#This Row],[ČJ]:[M]])</f>
        <v>106</v>
      </c>
      <c r="G28" s="25">
        <f>AVERAGE(Tabulka13[[#This Row],[ČJ]:[M]])</f>
        <v>35.333333333333336</v>
      </c>
      <c r="H28">
        <f>RANK(Tabulka13[[#This Row],[Celkem bodů]],Tabulka13[Celkem bodů])</f>
        <v>72</v>
      </c>
      <c r="I28" t="str">
        <f>IF(Tabulka13[[#This Row],[Celkem bodů]]&gt;=150,IF(Tabulka13[[#This Row],[Pořadí]]&lt;=30,"prijat","neprijat"),"neprijat")</f>
        <v>neprijat</v>
      </c>
    </row>
    <row r="29" spans="1:9">
      <c r="A29" t="s">
        <v>57</v>
      </c>
      <c r="B29" t="s">
        <v>58</v>
      </c>
      <c r="C29">
        <v>0</v>
      </c>
      <c r="D29">
        <v>28</v>
      </c>
      <c r="E29">
        <v>43</v>
      </c>
      <c r="F29">
        <f>SUM(Tabulka13[[#This Row],[ČJ]:[M]])</f>
        <v>71</v>
      </c>
      <c r="G29" s="25">
        <f>AVERAGE(Tabulka13[[#This Row],[ČJ]:[M]])</f>
        <v>23.666666666666668</v>
      </c>
      <c r="H29">
        <f>RANK(Tabulka13[[#This Row],[Celkem bodů]],Tabulka13[Celkem bodů])</f>
        <v>89</v>
      </c>
      <c r="I29" t="str">
        <f>IF(Tabulka13[[#This Row],[Celkem bodů]]&gt;=150,IF(Tabulka13[[#This Row],[Pořadí]]&lt;=30,"prijat","neprijat"),"neprijat")</f>
        <v>neprijat</v>
      </c>
    </row>
    <row r="30" spans="1:9">
      <c r="A30" t="s">
        <v>59</v>
      </c>
      <c r="B30" t="s">
        <v>31</v>
      </c>
      <c r="C30">
        <v>87</v>
      </c>
      <c r="D30">
        <v>82</v>
      </c>
      <c r="E30">
        <v>12</v>
      </c>
      <c r="F30">
        <f>SUM(Tabulka13[[#This Row],[ČJ]:[M]])</f>
        <v>181</v>
      </c>
      <c r="G30" s="25">
        <f>AVERAGE(Tabulka13[[#This Row],[ČJ]:[M]])</f>
        <v>60.333333333333336</v>
      </c>
      <c r="H30">
        <f>RANK(Tabulka13[[#This Row],[Celkem bodů]],Tabulka13[Celkem bodů])</f>
        <v>17</v>
      </c>
      <c r="I30" t="str">
        <f>IF(Tabulka13[[#This Row],[Celkem bodů]]&gt;=150,IF(Tabulka13[[#This Row],[Pořadí]]&lt;=30,"prijat","neprijat"),"neprijat")</f>
        <v>prijat</v>
      </c>
    </row>
    <row r="31" spans="1:9">
      <c r="A31" t="s">
        <v>16</v>
      </c>
      <c r="B31" t="s">
        <v>60</v>
      </c>
      <c r="C31">
        <v>11</v>
      </c>
      <c r="D31">
        <v>94</v>
      </c>
      <c r="E31">
        <v>13</v>
      </c>
      <c r="F31">
        <f>SUM(Tabulka13[[#This Row],[ČJ]:[M]])</f>
        <v>118</v>
      </c>
      <c r="G31" s="25">
        <f>AVERAGE(Tabulka13[[#This Row],[ČJ]:[M]])</f>
        <v>39.333333333333336</v>
      </c>
      <c r="H31">
        <f>RANK(Tabulka13[[#This Row],[Celkem bodů]],Tabulka13[Celkem bodů])</f>
        <v>65</v>
      </c>
      <c r="I31" t="str">
        <f>IF(Tabulka13[[#This Row],[Celkem bodů]]&gt;=150,IF(Tabulka13[[#This Row],[Pořadí]]&lt;=30,"prijat","neprijat"),"neprijat")</f>
        <v>neprijat</v>
      </c>
    </row>
    <row r="32" spans="1:9">
      <c r="A32" t="s">
        <v>61</v>
      </c>
      <c r="B32" t="s">
        <v>62</v>
      </c>
      <c r="C32">
        <v>73</v>
      </c>
      <c r="D32">
        <v>0</v>
      </c>
      <c r="E32">
        <v>7</v>
      </c>
      <c r="F32">
        <f>SUM(Tabulka13[[#This Row],[ČJ]:[M]])</f>
        <v>80</v>
      </c>
      <c r="G32" s="25">
        <f>AVERAGE(Tabulka13[[#This Row],[ČJ]:[M]])</f>
        <v>26.666666666666668</v>
      </c>
      <c r="H32">
        <f>RANK(Tabulka13[[#This Row],[Celkem bodů]],Tabulka13[Celkem bodů])</f>
        <v>87</v>
      </c>
      <c r="I32" t="str">
        <f>IF(Tabulka13[[#This Row],[Celkem bodů]]&gt;=150,IF(Tabulka13[[#This Row],[Pořadí]]&lt;=30,"prijat","neprijat"),"neprijat")</f>
        <v>neprijat</v>
      </c>
    </row>
    <row r="33" spans="1:9">
      <c r="A33" t="s">
        <v>63</v>
      </c>
      <c r="B33" t="s">
        <v>62</v>
      </c>
      <c r="C33">
        <v>56</v>
      </c>
      <c r="D33">
        <v>5</v>
      </c>
      <c r="E33">
        <v>94</v>
      </c>
      <c r="F33">
        <f>SUM(Tabulka13[[#This Row],[ČJ]:[M]])</f>
        <v>155</v>
      </c>
      <c r="G33" s="25">
        <f>AVERAGE(Tabulka13[[#This Row],[ČJ]:[M]])</f>
        <v>51.666666666666664</v>
      </c>
      <c r="H33">
        <f>RANK(Tabulka13[[#This Row],[Celkem bodů]],Tabulka13[Celkem bodů])</f>
        <v>39</v>
      </c>
      <c r="I33" t="str">
        <f>IF(Tabulka13[[#This Row],[Celkem bodů]]&gt;=150,IF(Tabulka13[[#This Row],[Pořadí]]&lt;=30,"prijat","neprijat"),"neprijat")</f>
        <v>neprijat</v>
      </c>
    </row>
    <row r="34" spans="1:9">
      <c r="A34" t="s">
        <v>64</v>
      </c>
      <c r="B34" t="s">
        <v>65</v>
      </c>
      <c r="C34">
        <v>39</v>
      </c>
      <c r="D34">
        <v>57</v>
      </c>
      <c r="E34">
        <v>10</v>
      </c>
      <c r="F34">
        <f>SUM(Tabulka13[[#This Row],[ČJ]:[M]])</f>
        <v>106</v>
      </c>
      <c r="G34" s="25">
        <f>AVERAGE(Tabulka13[[#This Row],[ČJ]:[M]])</f>
        <v>35.333333333333336</v>
      </c>
      <c r="H34">
        <f>RANK(Tabulka13[[#This Row],[Celkem bodů]],Tabulka13[Celkem bodů])</f>
        <v>72</v>
      </c>
      <c r="I34" t="str">
        <f>IF(Tabulka13[[#This Row],[Celkem bodů]]&gt;=150,IF(Tabulka13[[#This Row],[Pořadí]]&lt;=30,"prijat","neprijat"),"neprijat")</f>
        <v>neprijat</v>
      </c>
    </row>
    <row r="35" spans="1:9">
      <c r="A35" t="s">
        <v>66</v>
      </c>
      <c r="B35" t="s">
        <v>67</v>
      </c>
      <c r="C35">
        <v>22</v>
      </c>
      <c r="D35">
        <v>44</v>
      </c>
      <c r="E35">
        <v>99</v>
      </c>
      <c r="F35">
        <f>SUM(Tabulka13[[#This Row],[ČJ]:[M]])</f>
        <v>165</v>
      </c>
      <c r="G35" s="25">
        <f>AVERAGE(Tabulka13[[#This Row],[ČJ]:[M]])</f>
        <v>55</v>
      </c>
      <c r="H35">
        <f>RANK(Tabulka13[[#This Row],[Celkem bodů]],Tabulka13[Celkem bodů])</f>
        <v>32</v>
      </c>
      <c r="I35" t="str">
        <f>IF(Tabulka13[[#This Row],[Celkem bodů]]&gt;=150,IF(Tabulka13[[#This Row],[Pořadí]]&lt;=30,"prijat","neprijat"),"neprijat")</f>
        <v>neprijat</v>
      </c>
    </row>
    <row r="36" spans="1:9">
      <c r="A36" t="s">
        <v>68</v>
      </c>
      <c r="B36" t="s">
        <v>69</v>
      </c>
      <c r="C36">
        <v>56</v>
      </c>
      <c r="D36">
        <v>41</v>
      </c>
      <c r="E36">
        <v>95</v>
      </c>
      <c r="F36">
        <f>SUM(Tabulka13[[#This Row],[ČJ]:[M]])</f>
        <v>192</v>
      </c>
      <c r="G36" s="25">
        <f>AVERAGE(Tabulka13[[#This Row],[ČJ]:[M]])</f>
        <v>64</v>
      </c>
      <c r="H36">
        <f>RANK(Tabulka13[[#This Row],[Celkem bodů]],Tabulka13[Celkem bodů])</f>
        <v>14</v>
      </c>
      <c r="I36" t="str">
        <f>IF(Tabulka13[[#This Row],[Celkem bodů]]&gt;=150,IF(Tabulka13[[#This Row],[Pořadí]]&lt;=30,"prijat","neprijat"),"neprijat")</f>
        <v>prijat</v>
      </c>
    </row>
    <row r="37" spans="1:9">
      <c r="A37" t="s">
        <v>70</v>
      </c>
      <c r="B37" t="s">
        <v>71</v>
      </c>
      <c r="C37">
        <v>59</v>
      </c>
      <c r="D37">
        <v>64</v>
      </c>
      <c r="E37">
        <v>17</v>
      </c>
      <c r="F37">
        <f>SUM(Tabulka13[[#This Row],[ČJ]:[M]])</f>
        <v>140</v>
      </c>
      <c r="G37" s="25">
        <f>AVERAGE(Tabulka13[[#This Row],[ČJ]:[M]])</f>
        <v>46.666666666666664</v>
      </c>
      <c r="H37">
        <f>RANK(Tabulka13[[#This Row],[Celkem bodů]],Tabulka13[Celkem bodů])</f>
        <v>47</v>
      </c>
      <c r="I37" t="str">
        <f>IF(Tabulka13[[#This Row],[Celkem bodů]]&gt;=150,IF(Tabulka13[[#This Row],[Pořadí]]&lt;=30,"prijat","neprijat"),"neprijat")</f>
        <v>neprijat</v>
      </c>
    </row>
    <row r="38" spans="1:9">
      <c r="A38" t="s">
        <v>72</v>
      </c>
      <c r="B38" t="s">
        <v>73</v>
      </c>
      <c r="C38">
        <v>21</v>
      </c>
      <c r="D38">
        <v>23</v>
      </c>
      <c r="E38">
        <v>51</v>
      </c>
      <c r="F38">
        <f>SUM(Tabulka13[[#This Row],[ČJ]:[M]])</f>
        <v>95</v>
      </c>
      <c r="G38" s="25">
        <f>AVERAGE(Tabulka13[[#This Row],[ČJ]:[M]])</f>
        <v>31.666666666666668</v>
      </c>
      <c r="H38">
        <f>RANK(Tabulka13[[#This Row],[Celkem bodů]],Tabulka13[Celkem bodů])</f>
        <v>83</v>
      </c>
      <c r="I38" t="str">
        <f>IF(Tabulka13[[#This Row],[Celkem bodů]]&gt;=150,IF(Tabulka13[[#This Row],[Pořadí]]&lt;=30,"prijat","neprijat"),"neprijat")</f>
        <v>neprijat</v>
      </c>
    </row>
    <row r="39" spans="1:9">
      <c r="A39" t="s">
        <v>74</v>
      </c>
      <c r="B39" t="s">
        <v>75</v>
      </c>
      <c r="C39">
        <v>23</v>
      </c>
      <c r="D39">
        <v>32</v>
      </c>
      <c r="E39">
        <v>5</v>
      </c>
      <c r="F39">
        <f>SUM(Tabulka13[[#This Row],[ČJ]:[M]])</f>
        <v>60</v>
      </c>
      <c r="G39" s="25">
        <f>AVERAGE(Tabulka13[[#This Row],[ČJ]:[M]])</f>
        <v>20</v>
      </c>
      <c r="H39">
        <f>RANK(Tabulka13[[#This Row],[Celkem bodů]],Tabulka13[Celkem bodů])</f>
        <v>91</v>
      </c>
      <c r="I39" t="str">
        <f>IF(Tabulka13[[#This Row],[Celkem bodů]]&gt;=150,IF(Tabulka13[[#This Row],[Pořadí]]&lt;=30,"prijat","neprijat"),"neprijat")</f>
        <v>neprijat</v>
      </c>
    </row>
    <row r="40" spans="1:9">
      <c r="A40" t="s">
        <v>76</v>
      </c>
      <c r="B40" t="s">
        <v>77</v>
      </c>
      <c r="C40">
        <v>37</v>
      </c>
      <c r="D40">
        <v>95</v>
      </c>
      <c r="E40">
        <v>2</v>
      </c>
      <c r="F40">
        <f>SUM(Tabulka13[[#This Row],[ČJ]:[M]])</f>
        <v>134</v>
      </c>
      <c r="G40" s="25">
        <f>AVERAGE(Tabulka13[[#This Row],[ČJ]:[M]])</f>
        <v>44.666666666666664</v>
      </c>
      <c r="H40">
        <f>RANK(Tabulka13[[#This Row],[Celkem bodů]],Tabulka13[Celkem bodů])</f>
        <v>53</v>
      </c>
      <c r="I40" t="str">
        <f>IF(Tabulka13[[#This Row],[Celkem bodů]]&gt;=150,IF(Tabulka13[[#This Row],[Pořadí]]&lt;=30,"prijat","neprijat"),"neprijat")</f>
        <v>neprijat</v>
      </c>
    </row>
    <row r="41" spans="1:9">
      <c r="A41" t="s">
        <v>78</v>
      </c>
      <c r="B41" t="s">
        <v>79</v>
      </c>
      <c r="C41">
        <v>13</v>
      </c>
      <c r="D41">
        <v>81</v>
      </c>
      <c r="E41">
        <v>53</v>
      </c>
      <c r="F41">
        <f>SUM(Tabulka13[[#This Row],[ČJ]:[M]])</f>
        <v>147</v>
      </c>
      <c r="G41" s="25">
        <f>AVERAGE(Tabulka13[[#This Row],[ČJ]:[M]])</f>
        <v>49</v>
      </c>
      <c r="H41">
        <f>RANK(Tabulka13[[#This Row],[Celkem bodů]],Tabulka13[Celkem bodů])</f>
        <v>44</v>
      </c>
      <c r="I41" t="str">
        <f>IF(Tabulka13[[#This Row],[Celkem bodů]]&gt;=150,IF(Tabulka13[[#This Row],[Pořadí]]&lt;=30,"prijat","neprijat"),"neprijat")</f>
        <v>neprijat</v>
      </c>
    </row>
    <row r="42" spans="1:9">
      <c r="A42" t="s">
        <v>80</v>
      </c>
      <c r="B42" t="s">
        <v>81</v>
      </c>
      <c r="C42">
        <v>37</v>
      </c>
      <c r="D42">
        <v>86</v>
      </c>
      <c r="E42">
        <v>47</v>
      </c>
      <c r="F42">
        <f>SUM(Tabulka13[[#This Row],[ČJ]:[M]])</f>
        <v>170</v>
      </c>
      <c r="G42" s="25">
        <f>AVERAGE(Tabulka13[[#This Row],[ČJ]:[M]])</f>
        <v>56.666666666666664</v>
      </c>
      <c r="H42">
        <f>RANK(Tabulka13[[#This Row],[Celkem bodů]],Tabulka13[Celkem bodů])</f>
        <v>29</v>
      </c>
      <c r="I42" t="str">
        <f>IF(Tabulka13[[#This Row],[Celkem bodů]]&gt;=150,IF(Tabulka13[[#This Row],[Pořadí]]&lt;=30,"prijat","neprijat"),"neprijat")</f>
        <v>prijat</v>
      </c>
    </row>
    <row r="43" spans="1:9">
      <c r="A43" t="s">
        <v>82</v>
      </c>
      <c r="B43" t="s">
        <v>83</v>
      </c>
      <c r="C43">
        <v>88</v>
      </c>
      <c r="D43">
        <v>67</v>
      </c>
      <c r="E43">
        <v>17</v>
      </c>
      <c r="F43">
        <f>SUM(Tabulka13[[#This Row],[ČJ]:[M]])</f>
        <v>172</v>
      </c>
      <c r="G43" s="25">
        <f>AVERAGE(Tabulka13[[#This Row],[ČJ]:[M]])</f>
        <v>57.333333333333336</v>
      </c>
      <c r="H43">
        <f>RANK(Tabulka13[[#This Row],[Celkem bodů]],Tabulka13[Celkem bodů])</f>
        <v>26</v>
      </c>
      <c r="I43" t="str">
        <f>IF(Tabulka13[[#This Row],[Celkem bodů]]&gt;=150,IF(Tabulka13[[#This Row],[Pořadí]]&lt;=30,"prijat","neprijat"),"neprijat")</f>
        <v>prijat</v>
      </c>
    </row>
    <row r="44" spans="1:9">
      <c r="A44" t="s">
        <v>84</v>
      </c>
      <c r="B44" t="s">
        <v>85</v>
      </c>
      <c r="C44">
        <v>59</v>
      </c>
      <c r="D44">
        <v>66</v>
      </c>
      <c r="E44">
        <v>25</v>
      </c>
      <c r="F44">
        <f>SUM(Tabulka13[[#This Row],[ČJ]:[M]])</f>
        <v>150</v>
      </c>
      <c r="G44" s="25">
        <f>AVERAGE(Tabulka13[[#This Row],[ČJ]:[M]])</f>
        <v>50</v>
      </c>
      <c r="H44">
        <f>RANK(Tabulka13[[#This Row],[Celkem bodů]],Tabulka13[Celkem bodů])</f>
        <v>41</v>
      </c>
      <c r="I44" t="str">
        <f>IF(Tabulka13[[#This Row],[Celkem bodů]]&gt;=150,IF(Tabulka13[[#This Row],[Pořadí]]&lt;=30,"prijat","neprijat"),"neprijat")</f>
        <v>neprijat</v>
      </c>
    </row>
    <row r="45" spans="1:9">
      <c r="A45" t="s">
        <v>86</v>
      </c>
      <c r="B45" t="s">
        <v>87</v>
      </c>
      <c r="C45">
        <v>20</v>
      </c>
      <c r="D45">
        <v>59</v>
      </c>
      <c r="E45">
        <v>55</v>
      </c>
      <c r="F45">
        <f>SUM(Tabulka13[[#This Row],[ČJ]:[M]])</f>
        <v>134</v>
      </c>
      <c r="G45" s="25">
        <f>AVERAGE(Tabulka13[[#This Row],[ČJ]:[M]])</f>
        <v>44.666666666666664</v>
      </c>
      <c r="H45">
        <f>RANK(Tabulka13[[#This Row],[Celkem bodů]],Tabulka13[Celkem bodů])</f>
        <v>53</v>
      </c>
      <c r="I45" t="str">
        <f>IF(Tabulka13[[#This Row],[Celkem bodů]]&gt;=150,IF(Tabulka13[[#This Row],[Pořadí]]&lt;=30,"prijat","neprijat"),"neprijat")</f>
        <v>neprijat</v>
      </c>
    </row>
    <row r="46" spans="1:9">
      <c r="A46" t="s">
        <v>88</v>
      </c>
      <c r="B46" t="s">
        <v>89</v>
      </c>
      <c r="C46">
        <v>55</v>
      </c>
      <c r="D46">
        <v>76</v>
      </c>
      <c r="E46">
        <v>48</v>
      </c>
      <c r="F46">
        <f>SUM(Tabulka13[[#This Row],[ČJ]:[M]])</f>
        <v>179</v>
      </c>
      <c r="G46" s="25">
        <f>AVERAGE(Tabulka13[[#This Row],[ČJ]:[M]])</f>
        <v>59.666666666666664</v>
      </c>
      <c r="H46">
        <f>RANK(Tabulka13[[#This Row],[Celkem bodů]],Tabulka13[Celkem bodů])</f>
        <v>18</v>
      </c>
      <c r="I46" t="str">
        <f>IF(Tabulka13[[#This Row],[Celkem bodů]]&gt;=150,IF(Tabulka13[[#This Row],[Pořadí]]&lt;=30,"prijat","neprijat"),"neprijat")</f>
        <v>prijat</v>
      </c>
    </row>
    <row r="47" spans="1:9">
      <c r="A47" t="s">
        <v>90</v>
      </c>
      <c r="B47" t="s">
        <v>91</v>
      </c>
      <c r="C47">
        <v>35</v>
      </c>
      <c r="D47">
        <v>77</v>
      </c>
      <c r="E47">
        <v>35</v>
      </c>
      <c r="F47">
        <f>SUM(Tabulka13[[#This Row],[ČJ]:[M]])</f>
        <v>147</v>
      </c>
      <c r="G47" s="25">
        <f>AVERAGE(Tabulka13[[#This Row],[ČJ]:[M]])</f>
        <v>49</v>
      </c>
      <c r="H47">
        <f>RANK(Tabulka13[[#This Row],[Celkem bodů]],Tabulka13[Celkem bodů])</f>
        <v>44</v>
      </c>
      <c r="I47" t="str">
        <f>IF(Tabulka13[[#This Row],[Celkem bodů]]&gt;=150,IF(Tabulka13[[#This Row],[Pořadí]]&lt;=30,"prijat","neprijat"),"neprijat")</f>
        <v>neprijat</v>
      </c>
    </row>
    <row r="48" spans="1:9">
      <c r="A48" t="s">
        <v>92</v>
      </c>
      <c r="B48" t="s">
        <v>93</v>
      </c>
      <c r="C48">
        <v>86</v>
      </c>
      <c r="D48">
        <v>10</v>
      </c>
      <c r="E48">
        <v>83</v>
      </c>
      <c r="F48">
        <f>SUM(Tabulka13[[#This Row],[ČJ]:[M]])</f>
        <v>179</v>
      </c>
      <c r="G48" s="25">
        <f>AVERAGE(Tabulka13[[#This Row],[ČJ]:[M]])</f>
        <v>59.666666666666664</v>
      </c>
      <c r="H48">
        <f>RANK(Tabulka13[[#This Row],[Celkem bodů]],Tabulka13[Celkem bodů])</f>
        <v>18</v>
      </c>
      <c r="I48" t="str">
        <f>IF(Tabulka13[[#This Row],[Celkem bodů]]&gt;=150,IF(Tabulka13[[#This Row],[Pořadí]]&lt;=30,"prijat","neprijat"),"neprijat")</f>
        <v>prijat</v>
      </c>
    </row>
    <row r="49" spans="1:9">
      <c r="A49" t="s">
        <v>94</v>
      </c>
      <c r="B49" t="s">
        <v>95</v>
      </c>
      <c r="C49">
        <v>62</v>
      </c>
      <c r="D49">
        <v>32</v>
      </c>
      <c r="E49">
        <v>31</v>
      </c>
      <c r="F49">
        <f>SUM(Tabulka13[[#This Row],[ČJ]:[M]])</f>
        <v>125</v>
      </c>
      <c r="G49" s="25">
        <f>AVERAGE(Tabulka13[[#This Row],[ČJ]:[M]])</f>
        <v>41.666666666666664</v>
      </c>
      <c r="H49">
        <f>RANK(Tabulka13[[#This Row],[Celkem bodů]],Tabulka13[Celkem bodů])</f>
        <v>61</v>
      </c>
      <c r="I49" t="str">
        <f>IF(Tabulka13[[#This Row],[Celkem bodů]]&gt;=150,IF(Tabulka13[[#This Row],[Pořadí]]&lt;=30,"prijat","neprijat"),"neprijat")</f>
        <v>neprijat</v>
      </c>
    </row>
    <row r="50" spans="1:9">
      <c r="A50" t="s">
        <v>96</v>
      </c>
      <c r="B50" t="s">
        <v>97</v>
      </c>
      <c r="C50">
        <v>62</v>
      </c>
      <c r="D50">
        <v>99</v>
      </c>
      <c r="E50">
        <v>92</v>
      </c>
      <c r="F50">
        <f>SUM(Tabulka13[[#This Row],[ČJ]:[M]])</f>
        <v>253</v>
      </c>
      <c r="G50" s="25">
        <f>AVERAGE(Tabulka13[[#This Row],[ČJ]:[M]])</f>
        <v>84.333333333333329</v>
      </c>
      <c r="H50">
        <f>RANK(Tabulka13[[#This Row],[Celkem bodů]],Tabulka13[Celkem bodů])</f>
        <v>1</v>
      </c>
      <c r="I50" t="str">
        <f>IF(Tabulka13[[#This Row],[Celkem bodů]]&gt;=150,IF(Tabulka13[[#This Row],[Pořadí]]&lt;=30,"prijat","neprijat"),"neprijat")</f>
        <v>prijat</v>
      </c>
    </row>
    <row r="51" spans="1:9">
      <c r="A51" t="s">
        <v>98</v>
      </c>
      <c r="B51" t="s">
        <v>99</v>
      </c>
      <c r="C51">
        <v>33</v>
      </c>
      <c r="D51">
        <v>76</v>
      </c>
      <c r="E51">
        <v>64</v>
      </c>
      <c r="F51">
        <f>SUM(Tabulka13[[#This Row],[ČJ]:[M]])</f>
        <v>173</v>
      </c>
      <c r="G51" s="25">
        <f>AVERAGE(Tabulka13[[#This Row],[ČJ]:[M]])</f>
        <v>57.666666666666664</v>
      </c>
      <c r="H51">
        <f>RANK(Tabulka13[[#This Row],[Celkem bodů]],Tabulka13[Celkem bodů])</f>
        <v>24</v>
      </c>
      <c r="I51" t="str">
        <f>IF(Tabulka13[[#This Row],[Celkem bodů]]&gt;=150,IF(Tabulka13[[#This Row],[Pořadí]]&lt;=30,"prijat","neprijat"),"neprijat")</f>
        <v>prijat</v>
      </c>
    </row>
    <row r="52" spans="1:9">
      <c r="A52" t="s">
        <v>100</v>
      </c>
      <c r="B52" t="s">
        <v>101</v>
      </c>
      <c r="C52">
        <v>78</v>
      </c>
      <c r="D52">
        <v>41</v>
      </c>
      <c r="E52">
        <v>2</v>
      </c>
      <c r="F52">
        <f>SUM(Tabulka13[[#This Row],[ČJ]:[M]])</f>
        <v>121</v>
      </c>
      <c r="G52" s="25">
        <f>AVERAGE(Tabulka13[[#This Row],[ČJ]:[M]])</f>
        <v>40.333333333333336</v>
      </c>
      <c r="H52">
        <f>RANK(Tabulka13[[#This Row],[Celkem bodů]],Tabulka13[Celkem bodů])</f>
        <v>64</v>
      </c>
      <c r="I52" t="str">
        <f>IF(Tabulka13[[#This Row],[Celkem bodů]]&gt;=150,IF(Tabulka13[[#This Row],[Pořadí]]&lt;=30,"prijat","neprijat"),"neprijat")</f>
        <v>neprijat</v>
      </c>
    </row>
    <row r="53" spans="1:9">
      <c r="A53" t="s">
        <v>102</v>
      </c>
      <c r="B53" t="s">
        <v>103</v>
      </c>
      <c r="C53">
        <v>29</v>
      </c>
      <c r="D53">
        <v>16</v>
      </c>
      <c r="E53">
        <v>56</v>
      </c>
      <c r="F53">
        <f>SUM(Tabulka13[[#This Row],[ČJ]:[M]])</f>
        <v>101</v>
      </c>
      <c r="G53" s="25">
        <f>AVERAGE(Tabulka13[[#This Row],[ČJ]:[M]])</f>
        <v>33.666666666666664</v>
      </c>
      <c r="H53">
        <f>RANK(Tabulka13[[#This Row],[Celkem bodů]],Tabulka13[Celkem bodů])</f>
        <v>79</v>
      </c>
      <c r="I53" t="str">
        <f>IF(Tabulka13[[#This Row],[Celkem bodů]]&gt;=150,IF(Tabulka13[[#This Row],[Pořadí]]&lt;=30,"prijat","neprijat"),"neprijat")</f>
        <v>neprijat</v>
      </c>
    </row>
    <row r="54" spans="1:9">
      <c r="A54" t="s">
        <v>104</v>
      </c>
      <c r="B54" t="s">
        <v>105</v>
      </c>
      <c r="C54">
        <v>10</v>
      </c>
      <c r="D54">
        <v>84</v>
      </c>
      <c r="E54">
        <v>34</v>
      </c>
      <c r="F54">
        <f>SUM(Tabulka13[[#This Row],[ČJ]:[M]])</f>
        <v>128</v>
      </c>
      <c r="G54" s="25">
        <f>AVERAGE(Tabulka13[[#This Row],[ČJ]:[M]])</f>
        <v>42.666666666666664</v>
      </c>
      <c r="H54">
        <f>RANK(Tabulka13[[#This Row],[Celkem bodů]],Tabulka13[Celkem bodů])</f>
        <v>58</v>
      </c>
      <c r="I54" t="str">
        <f>IF(Tabulka13[[#This Row],[Celkem bodů]]&gt;=150,IF(Tabulka13[[#This Row],[Pořadí]]&lt;=30,"prijat","neprijat"),"neprijat")</f>
        <v>neprijat</v>
      </c>
    </row>
    <row r="55" spans="1:9">
      <c r="A55" t="s">
        <v>106</v>
      </c>
      <c r="B55" t="s">
        <v>107</v>
      </c>
      <c r="C55">
        <v>74</v>
      </c>
      <c r="D55">
        <v>21</v>
      </c>
      <c r="E55">
        <v>77</v>
      </c>
      <c r="F55">
        <f>SUM(Tabulka13[[#This Row],[ČJ]:[M]])</f>
        <v>172</v>
      </c>
      <c r="G55" s="25">
        <f>AVERAGE(Tabulka13[[#This Row],[ČJ]:[M]])</f>
        <v>57.333333333333336</v>
      </c>
      <c r="H55">
        <f>RANK(Tabulka13[[#This Row],[Celkem bodů]],Tabulka13[Celkem bodů])</f>
        <v>26</v>
      </c>
      <c r="I55" t="str">
        <f>IF(Tabulka13[[#This Row],[Celkem bodů]]&gt;=150,IF(Tabulka13[[#This Row],[Pořadí]]&lt;=30,"prijat","neprijat"),"neprijat")</f>
        <v>prijat</v>
      </c>
    </row>
    <row r="56" spans="1:9">
      <c r="A56" t="s">
        <v>108</v>
      </c>
      <c r="B56" t="s">
        <v>109</v>
      </c>
      <c r="C56">
        <v>42</v>
      </c>
      <c r="D56">
        <v>70</v>
      </c>
      <c r="E56">
        <v>64</v>
      </c>
      <c r="F56">
        <f>SUM(Tabulka13[[#This Row],[ČJ]:[M]])</f>
        <v>176</v>
      </c>
      <c r="G56" s="25">
        <f>AVERAGE(Tabulka13[[#This Row],[ČJ]:[M]])</f>
        <v>58.666666666666664</v>
      </c>
      <c r="H56">
        <f>RANK(Tabulka13[[#This Row],[Celkem bodů]],Tabulka13[Celkem bodů])</f>
        <v>21</v>
      </c>
      <c r="I56" t="str">
        <f>IF(Tabulka13[[#This Row],[Celkem bodů]]&gt;=150,IF(Tabulka13[[#This Row],[Pořadí]]&lt;=30,"prijat","neprijat"),"neprijat")</f>
        <v>prijat</v>
      </c>
    </row>
    <row r="57" spans="1:9">
      <c r="A57" t="s">
        <v>110</v>
      </c>
      <c r="B57" t="s">
        <v>111</v>
      </c>
      <c r="C57">
        <v>22</v>
      </c>
      <c r="D57">
        <v>11</v>
      </c>
      <c r="E57">
        <v>32</v>
      </c>
      <c r="F57">
        <f>SUM(Tabulka13[[#This Row],[ČJ]:[M]])</f>
        <v>65</v>
      </c>
      <c r="G57" s="25">
        <f>AVERAGE(Tabulka13[[#This Row],[ČJ]:[M]])</f>
        <v>21.666666666666668</v>
      </c>
      <c r="H57">
        <f>RANK(Tabulka13[[#This Row],[Celkem bodů]],Tabulka13[Celkem bodů])</f>
        <v>90</v>
      </c>
      <c r="I57" t="str">
        <f>IF(Tabulka13[[#This Row],[Celkem bodů]]&gt;=150,IF(Tabulka13[[#This Row],[Pořadí]]&lt;=30,"prijat","neprijat"),"neprijat")</f>
        <v>neprijat</v>
      </c>
    </row>
    <row r="58" spans="1:9">
      <c r="A58" t="s">
        <v>112</v>
      </c>
      <c r="B58" t="s">
        <v>113</v>
      </c>
      <c r="C58">
        <v>68</v>
      </c>
      <c r="D58">
        <v>85</v>
      </c>
      <c r="E58">
        <v>73</v>
      </c>
      <c r="F58">
        <f>SUM(Tabulka13[[#This Row],[ČJ]:[M]])</f>
        <v>226</v>
      </c>
      <c r="G58" s="25">
        <f>AVERAGE(Tabulka13[[#This Row],[ČJ]:[M]])</f>
        <v>75.333333333333329</v>
      </c>
      <c r="H58">
        <f>RANK(Tabulka13[[#This Row],[Celkem bodů]],Tabulka13[Celkem bodů])</f>
        <v>4</v>
      </c>
      <c r="I58" t="str">
        <f>IF(Tabulka13[[#This Row],[Celkem bodů]]&gt;=150,IF(Tabulka13[[#This Row],[Pořadí]]&lt;=30,"prijat","neprijat"),"neprijat")</f>
        <v>prijat</v>
      </c>
    </row>
    <row r="59" spans="1:9">
      <c r="A59" t="s">
        <v>114</v>
      </c>
      <c r="B59" t="s">
        <v>115</v>
      </c>
      <c r="C59">
        <v>58</v>
      </c>
      <c r="D59">
        <v>76</v>
      </c>
      <c r="E59">
        <v>55</v>
      </c>
      <c r="F59">
        <f>SUM(Tabulka13[[#This Row],[ČJ]:[M]])</f>
        <v>189</v>
      </c>
      <c r="G59" s="25">
        <f>AVERAGE(Tabulka13[[#This Row],[ČJ]:[M]])</f>
        <v>63</v>
      </c>
      <c r="H59">
        <f>RANK(Tabulka13[[#This Row],[Celkem bodů]],Tabulka13[Celkem bodů])</f>
        <v>16</v>
      </c>
      <c r="I59" t="str">
        <f>IF(Tabulka13[[#This Row],[Celkem bodů]]&gt;=150,IF(Tabulka13[[#This Row],[Pořadí]]&lt;=30,"prijat","neprijat"),"neprijat")</f>
        <v>prijat</v>
      </c>
    </row>
    <row r="60" spans="1:9">
      <c r="A60" t="s">
        <v>116</v>
      </c>
      <c r="B60" t="s">
        <v>117</v>
      </c>
      <c r="C60">
        <v>17</v>
      </c>
      <c r="D60">
        <v>26</v>
      </c>
      <c r="E60">
        <v>96</v>
      </c>
      <c r="F60">
        <f>SUM(Tabulka13[[#This Row],[ČJ]:[M]])</f>
        <v>139</v>
      </c>
      <c r="G60" s="25">
        <f>AVERAGE(Tabulka13[[#This Row],[ČJ]:[M]])</f>
        <v>46.333333333333336</v>
      </c>
      <c r="H60">
        <f>RANK(Tabulka13[[#This Row],[Celkem bodů]],Tabulka13[Celkem bodů])</f>
        <v>48</v>
      </c>
      <c r="I60" t="str">
        <f>IF(Tabulka13[[#This Row],[Celkem bodů]]&gt;=150,IF(Tabulka13[[#This Row],[Pořadí]]&lt;=30,"prijat","neprijat"),"neprijat")</f>
        <v>neprijat</v>
      </c>
    </row>
    <row r="61" spans="1:9">
      <c r="A61" t="s">
        <v>118</v>
      </c>
      <c r="B61" t="s">
        <v>119</v>
      </c>
      <c r="C61">
        <v>38</v>
      </c>
      <c r="D61">
        <v>22</v>
      </c>
      <c r="E61">
        <v>88</v>
      </c>
      <c r="F61">
        <f>SUM(Tabulka13[[#This Row],[ČJ]:[M]])</f>
        <v>148</v>
      </c>
      <c r="G61" s="25">
        <f>AVERAGE(Tabulka13[[#This Row],[ČJ]:[M]])</f>
        <v>49.333333333333336</v>
      </c>
      <c r="H61">
        <f>RANK(Tabulka13[[#This Row],[Celkem bodů]],Tabulka13[Celkem bodů])</f>
        <v>43</v>
      </c>
      <c r="I61" t="str">
        <f>IF(Tabulka13[[#This Row],[Celkem bodů]]&gt;=150,IF(Tabulka13[[#This Row],[Pořadí]]&lt;=30,"prijat","neprijat"),"neprijat")</f>
        <v>neprijat</v>
      </c>
    </row>
    <row r="62" spans="1:9">
      <c r="A62" t="s">
        <v>120</v>
      </c>
      <c r="B62" t="s">
        <v>121</v>
      </c>
      <c r="C62">
        <v>49</v>
      </c>
      <c r="D62">
        <v>99</v>
      </c>
      <c r="E62">
        <v>28</v>
      </c>
      <c r="F62">
        <f>SUM(Tabulka13[[#This Row],[ČJ]:[M]])</f>
        <v>176</v>
      </c>
      <c r="G62" s="25">
        <f>AVERAGE(Tabulka13[[#This Row],[ČJ]:[M]])</f>
        <v>58.666666666666664</v>
      </c>
      <c r="H62">
        <f>RANK(Tabulka13[[#This Row],[Celkem bodů]],Tabulka13[Celkem bodů])</f>
        <v>21</v>
      </c>
      <c r="I62" t="str">
        <f>IF(Tabulka13[[#This Row],[Celkem bodů]]&gt;=150,IF(Tabulka13[[#This Row],[Pořadí]]&lt;=30,"prijat","neprijat"),"neprijat")</f>
        <v>prijat</v>
      </c>
    </row>
    <row r="63" spans="1:9">
      <c r="A63" t="s">
        <v>122</v>
      </c>
      <c r="B63" t="s">
        <v>123</v>
      </c>
      <c r="C63">
        <v>29</v>
      </c>
      <c r="D63">
        <v>83</v>
      </c>
      <c r="E63">
        <v>2</v>
      </c>
      <c r="F63">
        <f>SUM(Tabulka13[[#This Row],[ČJ]:[M]])</f>
        <v>114</v>
      </c>
      <c r="G63" s="25">
        <f>AVERAGE(Tabulka13[[#This Row],[ČJ]:[M]])</f>
        <v>38</v>
      </c>
      <c r="H63">
        <f>RANK(Tabulka13[[#This Row],[Celkem bodů]],Tabulka13[Celkem bodů])</f>
        <v>68</v>
      </c>
      <c r="I63" t="str">
        <f>IF(Tabulka13[[#This Row],[Celkem bodů]]&gt;=150,IF(Tabulka13[[#This Row],[Pořadí]]&lt;=30,"prijat","neprijat"),"neprijat")</f>
        <v>neprijat</v>
      </c>
    </row>
    <row r="64" spans="1:9">
      <c r="A64" t="s">
        <v>124</v>
      </c>
      <c r="B64" t="s">
        <v>125</v>
      </c>
      <c r="C64">
        <v>61</v>
      </c>
      <c r="D64">
        <v>49</v>
      </c>
      <c r="E64">
        <v>43</v>
      </c>
      <c r="F64">
        <f>SUM(Tabulka13[[#This Row],[ČJ]:[M]])</f>
        <v>153</v>
      </c>
      <c r="G64" s="25">
        <f>AVERAGE(Tabulka13[[#This Row],[ČJ]:[M]])</f>
        <v>51</v>
      </c>
      <c r="H64">
        <f>RANK(Tabulka13[[#This Row],[Celkem bodů]],Tabulka13[Celkem bodů])</f>
        <v>40</v>
      </c>
      <c r="I64" t="str">
        <f>IF(Tabulka13[[#This Row],[Celkem bodů]]&gt;=150,IF(Tabulka13[[#This Row],[Pořadí]]&lt;=30,"prijat","neprijat"),"neprijat")</f>
        <v>neprijat</v>
      </c>
    </row>
    <row r="65" spans="1:9">
      <c r="A65" t="s">
        <v>126</v>
      </c>
      <c r="B65" t="s">
        <v>127</v>
      </c>
      <c r="C65">
        <v>95</v>
      </c>
      <c r="D65">
        <v>14</v>
      </c>
      <c r="E65">
        <v>51</v>
      </c>
      <c r="F65">
        <f>SUM(Tabulka13[[#This Row],[ČJ]:[M]])</f>
        <v>160</v>
      </c>
      <c r="G65" s="25">
        <f>AVERAGE(Tabulka13[[#This Row],[ČJ]:[M]])</f>
        <v>53.333333333333336</v>
      </c>
      <c r="H65">
        <f>RANK(Tabulka13[[#This Row],[Celkem bodů]],Tabulka13[Celkem bodů])</f>
        <v>36</v>
      </c>
      <c r="I65" t="str">
        <f>IF(Tabulka13[[#This Row],[Celkem bodů]]&gt;=150,IF(Tabulka13[[#This Row],[Pořadí]]&lt;=30,"prijat","neprijat"),"neprijat")</f>
        <v>neprijat</v>
      </c>
    </row>
    <row r="66" spans="1:9">
      <c r="A66" t="s">
        <v>128</v>
      </c>
      <c r="B66" t="s">
        <v>129</v>
      </c>
      <c r="C66">
        <v>2</v>
      </c>
      <c r="D66">
        <v>95</v>
      </c>
      <c r="E66">
        <v>63</v>
      </c>
      <c r="F66">
        <f>SUM(Tabulka13[[#This Row],[ČJ]:[M]])</f>
        <v>160</v>
      </c>
      <c r="G66" s="25">
        <f>AVERAGE(Tabulka13[[#This Row],[ČJ]:[M]])</f>
        <v>53.333333333333336</v>
      </c>
      <c r="H66">
        <f>RANK(Tabulka13[[#This Row],[Celkem bodů]],Tabulka13[Celkem bodů])</f>
        <v>36</v>
      </c>
      <c r="I66" t="str">
        <f>IF(Tabulka13[[#This Row],[Celkem bodů]]&gt;=150,IF(Tabulka13[[#This Row],[Pořadí]]&lt;=30,"prijat","neprijat"),"neprijat")</f>
        <v>neprijat</v>
      </c>
    </row>
    <row r="67" spans="1:9">
      <c r="A67" t="s">
        <v>130</v>
      </c>
      <c r="B67" t="s">
        <v>131</v>
      </c>
      <c r="C67">
        <v>38</v>
      </c>
      <c r="D67">
        <v>63</v>
      </c>
      <c r="E67">
        <v>14</v>
      </c>
      <c r="F67">
        <f>SUM(Tabulka13[[#This Row],[ČJ]:[M]])</f>
        <v>115</v>
      </c>
      <c r="G67" s="25">
        <f>AVERAGE(Tabulka13[[#This Row],[ČJ]:[M]])</f>
        <v>38.333333333333336</v>
      </c>
      <c r="H67">
        <f>RANK(Tabulka13[[#This Row],[Celkem bodů]],Tabulka13[Celkem bodů])</f>
        <v>67</v>
      </c>
      <c r="I67" t="str">
        <f>IF(Tabulka13[[#This Row],[Celkem bodů]]&gt;=150,IF(Tabulka13[[#This Row],[Pořadí]]&lt;=30,"prijat","neprijat"),"neprijat")</f>
        <v>neprijat</v>
      </c>
    </row>
    <row r="68" spans="1:9">
      <c r="A68" t="s">
        <v>132</v>
      </c>
      <c r="B68" t="s">
        <v>133</v>
      </c>
      <c r="C68">
        <v>81</v>
      </c>
      <c r="D68">
        <v>0</v>
      </c>
      <c r="E68">
        <v>25</v>
      </c>
      <c r="F68">
        <f>SUM(Tabulka13[[#This Row],[ČJ]:[M]])</f>
        <v>106</v>
      </c>
      <c r="G68" s="25">
        <f>AVERAGE(Tabulka13[[#This Row],[ČJ]:[M]])</f>
        <v>35.333333333333336</v>
      </c>
      <c r="H68">
        <f>RANK(Tabulka13[[#This Row],[Celkem bodů]],Tabulka13[Celkem bodů])</f>
        <v>72</v>
      </c>
      <c r="I68" t="str">
        <f>IF(Tabulka13[[#This Row],[Celkem bodů]]&gt;=150,IF(Tabulka13[[#This Row],[Pořadí]]&lt;=30,"prijat","neprijat"),"neprijat")</f>
        <v>neprijat</v>
      </c>
    </row>
    <row r="69" spans="1:9">
      <c r="A69" t="s">
        <v>134</v>
      </c>
      <c r="B69" t="s">
        <v>135</v>
      </c>
      <c r="C69">
        <v>6</v>
      </c>
      <c r="D69">
        <v>61</v>
      </c>
      <c r="E69">
        <v>42</v>
      </c>
      <c r="F69">
        <f>SUM(Tabulka13[[#This Row],[ČJ]:[M]])</f>
        <v>109</v>
      </c>
      <c r="G69" s="25">
        <f>AVERAGE(Tabulka13[[#This Row],[ČJ]:[M]])</f>
        <v>36.333333333333336</v>
      </c>
      <c r="H69">
        <f>RANK(Tabulka13[[#This Row],[Celkem bodů]],Tabulka13[Celkem bodů])</f>
        <v>69</v>
      </c>
      <c r="I69" t="str">
        <f>IF(Tabulka13[[#This Row],[Celkem bodů]]&gt;=150,IF(Tabulka13[[#This Row],[Pořadí]]&lt;=30,"prijat","neprijat"),"neprijat")</f>
        <v>neprijat</v>
      </c>
    </row>
    <row r="70" spans="1:9">
      <c r="A70" t="s">
        <v>136</v>
      </c>
      <c r="B70" t="s">
        <v>137</v>
      </c>
      <c r="C70">
        <v>64</v>
      </c>
      <c r="D70">
        <v>21</v>
      </c>
      <c r="E70">
        <v>11</v>
      </c>
      <c r="F70">
        <f>SUM(Tabulka13[[#This Row],[ČJ]:[M]])</f>
        <v>96</v>
      </c>
      <c r="G70" s="25">
        <f>AVERAGE(Tabulka13[[#This Row],[ČJ]:[M]])</f>
        <v>32</v>
      </c>
      <c r="H70">
        <f>RANK(Tabulka13[[#This Row],[Celkem bodů]],Tabulka13[Celkem bodů])</f>
        <v>82</v>
      </c>
      <c r="I70" t="str">
        <f>IF(Tabulka13[[#This Row],[Celkem bodů]]&gt;=150,IF(Tabulka13[[#This Row],[Pořadí]]&lt;=30,"prijat","neprijat"),"neprijat")</f>
        <v>neprijat</v>
      </c>
    </row>
    <row r="71" spans="1:9">
      <c r="A71" t="s">
        <v>138</v>
      </c>
      <c r="B71" t="s">
        <v>139</v>
      </c>
      <c r="C71">
        <v>15</v>
      </c>
      <c r="D71">
        <v>61</v>
      </c>
      <c r="E71">
        <v>58</v>
      </c>
      <c r="F71">
        <f>SUM(Tabulka13[[#This Row],[ČJ]:[M]])</f>
        <v>134</v>
      </c>
      <c r="G71" s="25">
        <f>AVERAGE(Tabulka13[[#This Row],[ČJ]:[M]])</f>
        <v>44.666666666666664</v>
      </c>
      <c r="H71">
        <f>RANK(Tabulka13[[#This Row],[Celkem bodů]],Tabulka13[Celkem bodů])</f>
        <v>53</v>
      </c>
      <c r="I71" t="str">
        <f>IF(Tabulka13[[#This Row],[Celkem bodů]]&gt;=150,IF(Tabulka13[[#This Row],[Pořadí]]&lt;=30,"prijat","neprijat"),"neprijat")</f>
        <v>neprijat</v>
      </c>
    </row>
    <row r="72" spans="1:9">
      <c r="A72" t="s">
        <v>140</v>
      </c>
      <c r="B72" t="s">
        <v>141</v>
      </c>
      <c r="C72">
        <v>68</v>
      </c>
      <c r="D72">
        <v>79</v>
      </c>
      <c r="E72">
        <v>27</v>
      </c>
      <c r="F72">
        <f>SUM(Tabulka13[[#This Row],[ČJ]:[M]])</f>
        <v>174</v>
      </c>
      <c r="G72" s="25">
        <f>AVERAGE(Tabulka13[[#This Row],[ČJ]:[M]])</f>
        <v>58</v>
      </c>
      <c r="H72">
        <f>RANK(Tabulka13[[#This Row],[Celkem bodů]],Tabulka13[Celkem bodů])</f>
        <v>23</v>
      </c>
      <c r="I72" t="str">
        <f>IF(Tabulka13[[#This Row],[Celkem bodů]]&gt;=150,IF(Tabulka13[[#This Row],[Pořadí]]&lt;=30,"prijat","neprijat"),"neprijat")</f>
        <v>prijat</v>
      </c>
    </row>
    <row r="73" spans="1:9">
      <c r="A73" t="s">
        <v>142</v>
      </c>
      <c r="B73" t="s">
        <v>143</v>
      </c>
      <c r="C73">
        <v>51</v>
      </c>
      <c r="D73">
        <v>36</v>
      </c>
      <c r="E73">
        <v>16</v>
      </c>
      <c r="F73">
        <f>SUM(Tabulka13[[#This Row],[ČJ]:[M]])</f>
        <v>103</v>
      </c>
      <c r="G73" s="25">
        <f>AVERAGE(Tabulka13[[#This Row],[ČJ]:[M]])</f>
        <v>34.333333333333336</v>
      </c>
      <c r="H73">
        <f>RANK(Tabulka13[[#This Row],[Celkem bodů]],Tabulka13[Celkem bodů])</f>
        <v>77</v>
      </c>
      <c r="I73" t="str">
        <f>IF(Tabulka13[[#This Row],[Celkem bodů]]&gt;=150,IF(Tabulka13[[#This Row],[Pořadí]]&lt;=30,"prijat","neprijat"),"neprijat")</f>
        <v>neprijat</v>
      </c>
    </row>
    <row r="74" spans="1:9">
      <c r="A74" t="s">
        <v>144</v>
      </c>
      <c r="B74" t="s">
        <v>145</v>
      </c>
      <c r="C74">
        <v>92</v>
      </c>
      <c r="D74">
        <v>72</v>
      </c>
      <c r="E74">
        <v>63</v>
      </c>
      <c r="F74">
        <f>SUM(Tabulka13[[#This Row],[ČJ]:[M]])</f>
        <v>227</v>
      </c>
      <c r="G74" s="25">
        <f>AVERAGE(Tabulka13[[#This Row],[ČJ]:[M]])</f>
        <v>75.666666666666671</v>
      </c>
      <c r="H74">
        <f>RANK(Tabulka13[[#This Row],[Celkem bodů]],Tabulka13[Celkem bodů])</f>
        <v>3</v>
      </c>
      <c r="I74" t="str">
        <f>IF(Tabulka13[[#This Row],[Celkem bodů]]&gt;=150,IF(Tabulka13[[#This Row],[Pořadí]]&lt;=30,"prijat","neprijat"),"neprijat")</f>
        <v>prijat</v>
      </c>
    </row>
    <row r="75" spans="1:9">
      <c r="A75" t="s">
        <v>146</v>
      </c>
      <c r="B75" t="s">
        <v>147</v>
      </c>
      <c r="C75">
        <v>31</v>
      </c>
      <c r="D75">
        <v>70</v>
      </c>
      <c r="E75">
        <v>25</v>
      </c>
      <c r="F75">
        <f>SUM(Tabulka13[[#This Row],[ČJ]:[M]])</f>
        <v>126</v>
      </c>
      <c r="G75" s="25">
        <f>AVERAGE(Tabulka13[[#This Row],[ČJ]:[M]])</f>
        <v>42</v>
      </c>
      <c r="H75">
        <f>RANK(Tabulka13[[#This Row],[Celkem bodů]],Tabulka13[Celkem bodů])</f>
        <v>60</v>
      </c>
      <c r="I75" t="str">
        <f>IF(Tabulka13[[#This Row],[Celkem bodů]]&gt;=150,IF(Tabulka13[[#This Row],[Pořadí]]&lt;=30,"prijat","neprijat"),"neprijat")</f>
        <v>neprijat</v>
      </c>
    </row>
    <row r="76" spans="1:9">
      <c r="A76" t="s">
        <v>53</v>
      </c>
      <c r="B76" t="s">
        <v>148</v>
      </c>
      <c r="C76">
        <v>37</v>
      </c>
      <c r="D76">
        <v>13</v>
      </c>
      <c r="E76">
        <v>54</v>
      </c>
      <c r="F76">
        <f>SUM(Tabulka13[[#This Row],[ČJ]:[M]])</f>
        <v>104</v>
      </c>
      <c r="G76" s="25">
        <f>AVERAGE(Tabulka13[[#This Row],[ČJ]:[M]])</f>
        <v>34.666666666666664</v>
      </c>
      <c r="H76">
        <f>RANK(Tabulka13[[#This Row],[Celkem bodů]],Tabulka13[Celkem bodů])</f>
        <v>76</v>
      </c>
      <c r="I76" t="str">
        <f>IF(Tabulka13[[#This Row],[Celkem bodů]]&gt;=150,IF(Tabulka13[[#This Row],[Pořadí]]&lt;=30,"prijat","neprijat"),"neprijat")</f>
        <v>neprijat</v>
      </c>
    </row>
    <row r="77" spans="1:9">
      <c r="A77" t="s">
        <v>149</v>
      </c>
      <c r="B77" t="s">
        <v>150</v>
      </c>
      <c r="C77">
        <v>30</v>
      </c>
      <c r="D77">
        <v>46</v>
      </c>
      <c r="E77">
        <v>87</v>
      </c>
      <c r="F77">
        <f>SUM(Tabulka13[[#This Row],[ČJ]:[M]])</f>
        <v>163</v>
      </c>
      <c r="G77" s="25">
        <f>AVERAGE(Tabulka13[[#This Row],[ČJ]:[M]])</f>
        <v>54.333333333333336</v>
      </c>
      <c r="H77">
        <f>RANK(Tabulka13[[#This Row],[Celkem bodů]],Tabulka13[Celkem bodů])</f>
        <v>34</v>
      </c>
      <c r="I77" t="str">
        <f>IF(Tabulka13[[#This Row],[Celkem bodů]]&gt;=150,IF(Tabulka13[[#This Row],[Pořadí]]&lt;=30,"prijat","neprijat"),"neprijat")</f>
        <v>neprijat</v>
      </c>
    </row>
    <row r="78" spans="1:9">
      <c r="A78" t="s">
        <v>151</v>
      </c>
      <c r="B78" t="s">
        <v>152</v>
      </c>
      <c r="C78">
        <v>93</v>
      </c>
      <c r="D78">
        <v>7</v>
      </c>
      <c r="E78">
        <v>28</v>
      </c>
      <c r="F78">
        <f>SUM(Tabulka13[[#This Row],[ČJ]:[M]])</f>
        <v>128</v>
      </c>
      <c r="G78" s="25">
        <f>AVERAGE(Tabulka13[[#This Row],[ČJ]:[M]])</f>
        <v>42.666666666666664</v>
      </c>
      <c r="H78">
        <f>RANK(Tabulka13[[#This Row],[Celkem bodů]],Tabulka13[Celkem bodů])</f>
        <v>58</v>
      </c>
      <c r="I78" t="str">
        <f>IF(Tabulka13[[#This Row],[Celkem bodů]]&gt;=150,IF(Tabulka13[[#This Row],[Pořadí]]&lt;=30,"prijat","neprijat"),"neprijat")</f>
        <v>neprijat</v>
      </c>
    </row>
    <row r="79" spans="1:9">
      <c r="A79" t="s">
        <v>153</v>
      </c>
      <c r="B79" t="s">
        <v>154</v>
      </c>
      <c r="C79">
        <v>16</v>
      </c>
      <c r="D79">
        <v>41</v>
      </c>
      <c r="E79">
        <v>52</v>
      </c>
      <c r="F79">
        <f>SUM(Tabulka13[[#This Row],[ČJ]:[M]])</f>
        <v>109</v>
      </c>
      <c r="G79" s="25">
        <f>AVERAGE(Tabulka13[[#This Row],[ČJ]:[M]])</f>
        <v>36.333333333333336</v>
      </c>
      <c r="H79">
        <f>RANK(Tabulka13[[#This Row],[Celkem bodů]],Tabulka13[Celkem bodů])</f>
        <v>69</v>
      </c>
      <c r="I79" t="str">
        <f>IF(Tabulka13[[#This Row],[Celkem bodů]]&gt;=150,IF(Tabulka13[[#This Row],[Pořadí]]&lt;=30,"prijat","neprijat"),"neprijat")</f>
        <v>neprijat</v>
      </c>
    </row>
    <row r="80" spans="1:9">
      <c r="A80" t="s">
        <v>155</v>
      </c>
      <c r="B80" t="s">
        <v>156</v>
      </c>
      <c r="C80">
        <v>68</v>
      </c>
      <c r="D80">
        <v>7</v>
      </c>
      <c r="E80">
        <v>15</v>
      </c>
      <c r="F80">
        <f>SUM(Tabulka13[[#This Row],[ČJ]:[M]])</f>
        <v>90</v>
      </c>
      <c r="G80" s="25">
        <f>AVERAGE(Tabulka13[[#This Row],[ČJ]:[M]])</f>
        <v>30</v>
      </c>
      <c r="H80">
        <f>RANK(Tabulka13[[#This Row],[Celkem bodů]],Tabulka13[Celkem bodů])</f>
        <v>84</v>
      </c>
      <c r="I80" t="str">
        <f>IF(Tabulka13[[#This Row],[Celkem bodů]]&gt;=150,IF(Tabulka13[[#This Row],[Pořadí]]&lt;=30,"prijat","neprijat"),"neprijat")</f>
        <v>neprijat</v>
      </c>
    </row>
    <row r="81" spans="1:9">
      <c r="A81" t="s">
        <v>59</v>
      </c>
      <c r="B81" t="s">
        <v>157</v>
      </c>
      <c r="C81">
        <v>74</v>
      </c>
      <c r="D81">
        <v>86</v>
      </c>
      <c r="E81">
        <v>57</v>
      </c>
      <c r="F81">
        <f>SUM(Tabulka13[[#This Row],[ČJ]:[M]])</f>
        <v>217</v>
      </c>
      <c r="G81" s="25">
        <f>AVERAGE(Tabulka13[[#This Row],[ČJ]:[M]])</f>
        <v>72.333333333333329</v>
      </c>
      <c r="H81">
        <f>RANK(Tabulka13[[#This Row],[Celkem bodů]],Tabulka13[Celkem bodů])</f>
        <v>6</v>
      </c>
      <c r="I81" t="str">
        <f>IF(Tabulka13[[#This Row],[Celkem bodů]]&gt;=150,IF(Tabulka13[[#This Row],[Pořadí]]&lt;=30,"prijat","neprijat"),"neprijat")</f>
        <v>prijat</v>
      </c>
    </row>
    <row r="82" spans="1:9">
      <c r="A82" t="s">
        <v>158</v>
      </c>
      <c r="B82" t="s">
        <v>159</v>
      </c>
      <c r="C82">
        <v>34</v>
      </c>
      <c r="D82">
        <v>19</v>
      </c>
      <c r="E82">
        <v>48</v>
      </c>
      <c r="F82">
        <f>SUM(Tabulka13[[#This Row],[ČJ]:[M]])</f>
        <v>101</v>
      </c>
      <c r="G82" s="25">
        <f>AVERAGE(Tabulka13[[#This Row],[ČJ]:[M]])</f>
        <v>33.666666666666664</v>
      </c>
      <c r="H82">
        <f>RANK(Tabulka13[[#This Row],[Celkem bodů]],Tabulka13[Celkem bodů])</f>
        <v>79</v>
      </c>
      <c r="I82" t="str">
        <f>IF(Tabulka13[[#This Row],[Celkem bodů]]&gt;=150,IF(Tabulka13[[#This Row],[Pořadí]]&lt;=30,"prijat","neprijat"),"neprijat")</f>
        <v>neprijat</v>
      </c>
    </row>
    <row r="83" spans="1:9">
      <c r="A83" t="s">
        <v>160</v>
      </c>
      <c r="B83" t="s">
        <v>161</v>
      </c>
      <c r="C83">
        <v>29</v>
      </c>
      <c r="D83">
        <v>6</v>
      </c>
      <c r="E83">
        <v>54</v>
      </c>
      <c r="F83">
        <f>SUM(Tabulka13[[#This Row],[ČJ]:[M]])</f>
        <v>89</v>
      </c>
      <c r="G83" s="25">
        <f>AVERAGE(Tabulka13[[#This Row],[ČJ]:[M]])</f>
        <v>29.666666666666668</v>
      </c>
      <c r="H83">
        <f>RANK(Tabulka13[[#This Row],[Celkem bodů]],Tabulka13[Celkem bodů])</f>
        <v>85</v>
      </c>
      <c r="I83" t="str">
        <f>IF(Tabulka13[[#This Row],[Celkem bodů]]&gt;=150,IF(Tabulka13[[#This Row],[Pořadí]]&lt;=30,"prijat","neprijat"),"neprijat")</f>
        <v>neprijat</v>
      </c>
    </row>
    <row r="84" spans="1:9">
      <c r="A84" t="s">
        <v>162</v>
      </c>
      <c r="B84" t="s">
        <v>163</v>
      </c>
      <c r="C84">
        <v>14</v>
      </c>
      <c r="D84">
        <v>59</v>
      </c>
      <c r="E84">
        <v>89</v>
      </c>
      <c r="F84">
        <f>SUM(Tabulka13[[#This Row],[ČJ]:[M]])</f>
        <v>162</v>
      </c>
      <c r="G84" s="25">
        <f>AVERAGE(Tabulka13[[#This Row],[ČJ]:[M]])</f>
        <v>54</v>
      </c>
      <c r="H84">
        <f>RANK(Tabulka13[[#This Row],[Celkem bodů]],Tabulka13[Celkem bodů])</f>
        <v>35</v>
      </c>
      <c r="I84" t="str">
        <f>IF(Tabulka13[[#This Row],[Celkem bodů]]&gt;=150,IF(Tabulka13[[#This Row],[Pořadí]]&lt;=30,"prijat","neprijat"),"neprijat")</f>
        <v>neprijat</v>
      </c>
    </row>
    <row r="85" spans="1:9">
      <c r="A85" t="s">
        <v>164</v>
      </c>
      <c r="B85" t="s">
        <v>165</v>
      </c>
      <c r="C85">
        <v>4</v>
      </c>
      <c r="D85">
        <v>1</v>
      </c>
      <c r="E85">
        <v>9</v>
      </c>
      <c r="F85">
        <f>SUM(Tabulka13[[#This Row],[ČJ]:[M]])</f>
        <v>14</v>
      </c>
      <c r="G85" s="25">
        <f>AVERAGE(Tabulka13[[#This Row],[ČJ]:[M]])</f>
        <v>4.666666666666667</v>
      </c>
      <c r="H85">
        <f>RANK(Tabulka13[[#This Row],[Celkem bodů]],Tabulka13[Celkem bodů])</f>
        <v>99</v>
      </c>
      <c r="I85" t="str">
        <f>IF(Tabulka13[[#This Row],[Celkem bodů]]&gt;=150,IF(Tabulka13[[#This Row],[Pořadí]]&lt;=30,"prijat","neprijat"),"neprijat")</f>
        <v>neprijat</v>
      </c>
    </row>
    <row r="86" spans="1:9">
      <c r="A86" t="s">
        <v>166</v>
      </c>
      <c r="B86" t="s">
        <v>167</v>
      </c>
      <c r="C86">
        <v>59</v>
      </c>
      <c r="D86">
        <v>25</v>
      </c>
      <c r="E86">
        <v>65</v>
      </c>
      <c r="F86">
        <f>SUM(Tabulka13[[#This Row],[ČJ]:[M]])</f>
        <v>149</v>
      </c>
      <c r="G86" s="25">
        <f>AVERAGE(Tabulka13[[#This Row],[ČJ]:[M]])</f>
        <v>49.666666666666664</v>
      </c>
      <c r="H86">
        <f>RANK(Tabulka13[[#This Row],[Celkem bodů]],Tabulka13[Celkem bodů])</f>
        <v>42</v>
      </c>
      <c r="I86" t="str">
        <f>IF(Tabulka13[[#This Row],[Celkem bodů]]&gt;=150,IF(Tabulka13[[#This Row],[Pořadí]]&lt;=30,"prijat","neprijat"),"neprijat")</f>
        <v>neprijat</v>
      </c>
    </row>
    <row r="87" spans="1:9">
      <c r="A87" t="s">
        <v>168</v>
      </c>
      <c r="B87" t="s">
        <v>169</v>
      </c>
      <c r="C87">
        <v>56</v>
      </c>
      <c r="D87">
        <v>67</v>
      </c>
      <c r="E87">
        <v>87</v>
      </c>
      <c r="F87">
        <f>SUM(Tabulka13[[#This Row],[ČJ]:[M]])</f>
        <v>210</v>
      </c>
      <c r="G87" s="25">
        <f>AVERAGE(Tabulka13[[#This Row],[ČJ]:[M]])</f>
        <v>70</v>
      </c>
      <c r="H87">
        <f>RANK(Tabulka13[[#This Row],[Celkem bodů]],Tabulka13[Celkem bodů])</f>
        <v>7</v>
      </c>
      <c r="I87" t="str">
        <f>IF(Tabulka13[[#This Row],[Celkem bodů]]&gt;=150,IF(Tabulka13[[#This Row],[Pořadí]]&lt;=30,"prijat","neprijat"),"neprijat")</f>
        <v>prijat</v>
      </c>
    </row>
    <row r="88" spans="1:9">
      <c r="A88" t="s">
        <v>170</v>
      </c>
      <c r="B88" t="s">
        <v>171</v>
      </c>
      <c r="C88">
        <v>57</v>
      </c>
      <c r="D88">
        <v>67</v>
      </c>
      <c r="E88">
        <v>80</v>
      </c>
      <c r="F88">
        <f>SUM(Tabulka13[[#This Row],[ČJ]:[M]])</f>
        <v>204</v>
      </c>
      <c r="G88" s="25">
        <f>AVERAGE(Tabulka13[[#This Row],[ČJ]:[M]])</f>
        <v>68</v>
      </c>
      <c r="H88">
        <f>RANK(Tabulka13[[#This Row],[Celkem bodů]],Tabulka13[Celkem bodů])</f>
        <v>9</v>
      </c>
      <c r="I88" t="str">
        <f>IF(Tabulka13[[#This Row],[Celkem bodů]]&gt;=150,IF(Tabulka13[[#This Row],[Pořadí]]&lt;=30,"prijat","neprijat"),"neprijat")</f>
        <v>prijat</v>
      </c>
    </row>
    <row r="89" spans="1:9">
      <c r="A89" t="s">
        <v>172</v>
      </c>
      <c r="B89" t="s">
        <v>173</v>
      </c>
      <c r="C89">
        <v>39</v>
      </c>
      <c r="D89">
        <v>25</v>
      </c>
      <c r="E89">
        <v>43</v>
      </c>
      <c r="F89">
        <f>SUM(Tabulka13[[#This Row],[ČJ]:[M]])</f>
        <v>107</v>
      </c>
      <c r="G89" s="25">
        <f>AVERAGE(Tabulka13[[#This Row],[ČJ]:[M]])</f>
        <v>35.666666666666664</v>
      </c>
      <c r="H89">
        <f>RANK(Tabulka13[[#This Row],[Celkem bodů]],Tabulka13[Celkem bodů])</f>
        <v>71</v>
      </c>
      <c r="I89" t="str">
        <f>IF(Tabulka13[[#This Row],[Celkem bodů]]&gt;=150,IF(Tabulka13[[#This Row],[Pořadí]]&lt;=30,"prijat","neprijat"),"neprijat")</f>
        <v>neprijat</v>
      </c>
    </row>
    <row r="90" spans="1:9">
      <c r="A90" t="s">
        <v>174</v>
      </c>
      <c r="B90" t="s">
        <v>175</v>
      </c>
      <c r="C90">
        <v>52</v>
      </c>
      <c r="D90">
        <v>16</v>
      </c>
      <c r="E90">
        <v>61</v>
      </c>
      <c r="F90">
        <f>SUM(Tabulka13[[#This Row],[ČJ]:[M]])</f>
        <v>129</v>
      </c>
      <c r="G90" s="25">
        <f>AVERAGE(Tabulka13[[#This Row],[ČJ]:[M]])</f>
        <v>43</v>
      </c>
      <c r="H90">
        <f>RANK(Tabulka13[[#This Row],[Celkem bodů]],Tabulka13[Celkem bodů])</f>
        <v>57</v>
      </c>
      <c r="I90" t="str">
        <f>IF(Tabulka13[[#This Row],[Celkem bodů]]&gt;=150,IF(Tabulka13[[#This Row],[Pořadí]]&lt;=30,"prijat","neprijat"),"neprijat")</f>
        <v>neprijat</v>
      </c>
    </row>
    <row r="91" spans="1:9">
      <c r="A91" t="s">
        <v>176</v>
      </c>
      <c r="B91" t="s">
        <v>177</v>
      </c>
      <c r="C91">
        <v>78</v>
      </c>
      <c r="D91">
        <v>15</v>
      </c>
      <c r="E91">
        <v>10</v>
      </c>
      <c r="F91">
        <f>SUM(Tabulka13[[#This Row],[ČJ]:[M]])</f>
        <v>103</v>
      </c>
      <c r="G91" s="25">
        <f>AVERAGE(Tabulka13[[#This Row],[ČJ]:[M]])</f>
        <v>34.333333333333336</v>
      </c>
      <c r="H91">
        <f>RANK(Tabulka13[[#This Row],[Celkem bodů]],Tabulka13[Celkem bodů])</f>
        <v>77</v>
      </c>
      <c r="I91" t="str">
        <f>IF(Tabulka13[[#This Row],[Celkem bodů]]&gt;=150,IF(Tabulka13[[#This Row],[Pořadí]]&lt;=30,"prijat","neprijat"),"neprijat")</f>
        <v>neprijat</v>
      </c>
    </row>
    <row r="92" spans="1:9">
      <c r="A92" t="s">
        <v>178</v>
      </c>
      <c r="B92" t="s">
        <v>179</v>
      </c>
      <c r="C92">
        <v>27</v>
      </c>
      <c r="D92">
        <v>69</v>
      </c>
      <c r="E92">
        <v>10</v>
      </c>
      <c r="F92">
        <f>SUM(Tabulka13[[#This Row],[ČJ]:[M]])</f>
        <v>106</v>
      </c>
      <c r="G92" s="25">
        <f>AVERAGE(Tabulka13[[#This Row],[ČJ]:[M]])</f>
        <v>35.333333333333336</v>
      </c>
      <c r="H92">
        <f>RANK(Tabulka13[[#This Row],[Celkem bodů]],Tabulka13[Celkem bodů])</f>
        <v>72</v>
      </c>
      <c r="I92" t="str">
        <f>IF(Tabulka13[[#This Row],[Celkem bodů]]&gt;=150,IF(Tabulka13[[#This Row],[Pořadí]]&lt;=30,"prijat","neprijat"),"neprijat")</f>
        <v>neprijat</v>
      </c>
    </row>
    <row r="93" spans="1:9">
      <c r="A93" t="s">
        <v>180</v>
      </c>
      <c r="B93" t="s">
        <v>181</v>
      </c>
      <c r="C93">
        <v>81</v>
      </c>
      <c r="D93">
        <v>34</v>
      </c>
      <c r="E93">
        <v>80</v>
      </c>
      <c r="F93">
        <f>SUM(Tabulka13[[#This Row],[ČJ]:[M]])</f>
        <v>195</v>
      </c>
      <c r="G93" s="25">
        <f>AVERAGE(Tabulka13[[#This Row],[ČJ]:[M]])</f>
        <v>65</v>
      </c>
      <c r="H93">
        <f>RANK(Tabulka13[[#This Row],[Celkem bodů]],Tabulka13[Celkem bodů])</f>
        <v>11</v>
      </c>
      <c r="I93" t="str">
        <f>IF(Tabulka13[[#This Row],[Celkem bodů]]&gt;=150,IF(Tabulka13[[#This Row],[Pořadí]]&lt;=30,"prijat","neprijat"),"neprijat")</f>
        <v>prijat</v>
      </c>
    </row>
    <row r="94" spans="1:9">
      <c r="A94" t="s">
        <v>182</v>
      </c>
      <c r="B94" t="s">
        <v>183</v>
      </c>
      <c r="C94">
        <v>8</v>
      </c>
      <c r="D94">
        <v>91</v>
      </c>
      <c r="E94">
        <v>43</v>
      </c>
      <c r="F94">
        <f>SUM(Tabulka13[[#This Row],[ČJ]:[M]])</f>
        <v>142</v>
      </c>
      <c r="G94" s="25">
        <f>AVERAGE(Tabulka13[[#This Row],[ČJ]:[M]])</f>
        <v>47.333333333333336</v>
      </c>
      <c r="H94">
        <f>RANK(Tabulka13[[#This Row],[Celkem bodů]],Tabulka13[Celkem bodů])</f>
        <v>46</v>
      </c>
      <c r="I94" t="str">
        <f>IF(Tabulka13[[#This Row],[Celkem bodů]]&gt;=150,IF(Tabulka13[[#This Row],[Pořadí]]&lt;=30,"prijat","neprijat"),"neprijat")</f>
        <v>neprijat</v>
      </c>
    </row>
    <row r="95" spans="1:9">
      <c r="A95" t="s">
        <v>104</v>
      </c>
      <c r="B95" t="s">
        <v>184</v>
      </c>
      <c r="C95">
        <v>1</v>
      </c>
      <c r="D95">
        <v>25</v>
      </c>
      <c r="E95">
        <v>8</v>
      </c>
      <c r="F95">
        <f>SUM(Tabulka13[[#This Row],[ČJ]:[M]])</f>
        <v>34</v>
      </c>
      <c r="G95" s="25">
        <f>AVERAGE(Tabulka13[[#This Row],[ČJ]:[M]])</f>
        <v>11.333333333333334</v>
      </c>
      <c r="H95">
        <f>RANK(Tabulka13[[#This Row],[Celkem bodů]],Tabulka13[Celkem bodů])</f>
        <v>95</v>
      </c>
      <c r="I95" t="str">
        <f>IF(Tabulka13[[#This Row],[Celkem bodů]]&gt;=150,IF(Tabulka13[[#This Row],[Pořadí]]&lt;=30,"prijat","neprijat"),"neprijat")</f>
        <v>neprijat</v>
      </c>
    </row>
    <row r="96" spans="1:9">
      <c r="A96" t="s">
        <v>106</v>
      </c>
      <c r="B96" t="s">
        <v>185</v>
      </c>
      <c r="C96">
        <v>61</v>
      </c>
      <c r="D96">
        <v>43</v>
      </c>
      <c r="E96">
        <v>65</v>
      </c>
      <c r="F96">
        <f>SUM(Tabulka13[[#This Row],[ČJ]:[M]])</f>
        <v>169</v>
      </c>
      <c r="G96" s="25">
        <f>AVERAGE(Tabulka13[[#This Row],[ČJ]:[M]])</f>
        <v>56.333333333333336</v>
      </c>
      <c r="H96">
        <f>RANK(Tabulka13[[#This Row],[Celkem bodů]],Tabulka13[Celkem bodů])</f>
        <v>30</v>
      </c>
      <c r="I96" t="str">
        <f>IF(Tabulka13[[#This Row],[Celkem bodů]]&gt;=150,IF(Tabulka13[[#This Row],[Pořadí]]&lt;=30,"prijat","neprijat"),"neprijat")</f>
        <v>prijat</v>
      </c>
    </row>
    <row r="97" spans="1:9">
      <c r="A97" t="s">
        <v>108</v>
      </c>
      <c r="B97" t="s">
        <v>186</v>
      </c>
      <c r="C97">
        <v>53</v>
      </c>
      <c r="D97">
        <v>51</v>
      </c>
      <c r="E97">
        <v>74</v>
      </c>
      <c r="F97">
        <f>SUM(Tabulka13[[#This Row],[ČJ]:[M]])</f>
        <v>178</v>
      </c>
      <c r="G97" s="25">
        <f>AVERAGE(Tabulka13[[#This Row],[ČJ]:[M]])</f>
        <v>59.333333333333336</v>
      </c>
      <c r="H97">
        <f>RANK(Tabulka13[[#This Row],[Celkem bodů]],Tabulka13[Celkem bodů])</f>
        <v>20</v>
      </c>
      <c r="I97" t="str">
        <f>IF(Tabulka13[[#This Row],[Celkem bodů]]&gt;=150,IF(Tabulka13[[#This Row],[Pořadí]]&lt;=30,"prijat","neprijat"),"neprijat")</f>
        <v>prijat</v>
      </c>
    </row>
    <row r="98" spans="1:9">
      <c r="A98" t="s">
        <v>187</v>
      </c>
      <c r="B98" t="s">
        <v>188</v>
      </c>
      <c r="C98">
        <v>38</v>
      </c>
      <c r="D98">
        <v>32</v>
      </c>
      <c r="E98">
        <v>68</v>
      </c>
      <c r="F98">
        <f>SUM(Tabulka13[[#This Row],[ČJ]:[M]])</f>
        <v>138</v>
      </c>
      <c r="G98" s="25">
        <f>AVERAGE(Tabulka13[[#This Row],[ČJ]:[M]])</f>
        <v>46</v>
      </c>
      <c r="H98">
        <f>RANK(Tabulka13[[#This Row],[Celkem bodů]],Tabulka13[Celkem bodů])</f>
        <v>49</v>
      </c>
      <c r="I98" t="str">
        <f>IF(Tabulka13[[#This Row],[Celkem bodů]]&gt;=150,IF(Tabulka13[[#This Row],[Pořadí]]&lt;=30,"prijat","neprijat"),"neprijat")</f>
        <v>neprijat</v>
      </c>
    </row>
    <row r="99" spans="1:9">
      <c r="A99" t="s">
        <v>189</v>
      </c>
      <c r="B99" t="s">
        <v>190</v>
      </c>
      <c r="C99">
        <v>81</v>
      </c>
      <c r="D99">
        <v>68</v>
      </c>
      <c r="E99">
        <v>48</v>
      </c>
      <c r="F99">
        <f>SUM(Tabulka13[[#This Row],[ČJ]:[M]])</f>
        <v>197</v>
      </c>
      <c r="G99" s="25">
        <f>AVERAGE(Tabulka13[[#This Row],[ČJ]:[M]])</f>
        <v>65.666666666666671</v>
      </c>
      <c r="H99">
        <f>RANK(Tabulka13[[#This Row],[Celkem bodů]],Tabulka13[Celkem bodů])</f>
        <v>10</v>
      </c>
      <c r="I99" t="str">
        <f>IF(Tabulka13[[#This Row],[Celkem bodů]]&gt;=150,IF(Tabulka13[[#This Row],[Pořadí]]&lt;=30,"prijat","neprijat"),"neprijat")</f>
        <v>prijat</v>
      </c>
    </row>
    <row r="100" spans="1:9">
      <c r="A100" t="s">
        <v>191</v>
      </c>
      <c r="B100" t="s">
        <v>192</v>
      </c>
      <c r="C100">
        <v>33</v>
      </c>
      <c r="D100">
        <v>28</v>
      </c>
      <c r="E100">
        <v>36</v>
      </c>
      <c r="F100">
        <f>SUM(Tabulka13[[#This Row],[ČJ]:[M]])</f>
        <v>97</v>
      </c>
      <c r="G100" s="25">
        <f>AVERAGE(Tabulka13[[#This Row],[ČJ]:[M]])</f>
        <v>32.333333333333336</v>
      </c>
      <c r="H100">
        <f>RANK(Tabulka13[[#This Row],[Celkem bodů]],Tabulka13[Celkem bodů])</f>
        <v>81</v>
      </c>
      <c r="I100" t="str">
        <f>IF(Tabulka13[[#This Row],[Celkem bodů]]&gt;=150,IF(Tabulka13[[#This Row],[Pořadí]]&lt;=30,"prijat","neprijat"),"neprijat")</f>
        <v>neprijat</v>
      </c>
    </row>
    <row r="101" spans="1:9">
      <c r="A101" t="s">
        <v>193</v>
      </c>
      <c r="B101" t="s">
        <v>194</v>
      </c>
      <c r="C101">
        <v>92</v>
      </c>
      <c r="D101">
        <v>4</v>
      </c>
      <c r="E101">
        <v>95</v>
      </c>
      <c r="F101">
        <f>SUM(Tabulka13[[#This Row],[ČJ]:[M]])</f>
        <v>191</v>
      </c>
      <c r="G101" s="25">
        <f>AVERAGE(Tabulka13[[#This Row],[ČJ]:[M]])</f>
        <v>63.666666666666664</v>
      </c>
      <c r="H101">
        <f>RANK(Tabulka13[[#This Row],[Celkem bodů]],Tabulka13[Celkem bodů])</f>
        <v>15</v>
      </c>
      <c r="I101" t="str">
        <f>IF(Tabulka13[[#This Row],[Celkem bodů]]&gt;=150,IF(Tabulka13[[#This Row],[Pořadí]]&lt;=30,"prijat","neprijat"),"neprijat")</f>
        <v>prijat</v>
      </c>
    </row>
    <row r="102" spans="1:9">
      <c r="A102" t="s">
        <v>195</v>
      </c>
      <c r="B102" t="s">
        <v>196</v>
      </c>
      <c r="C102">
        <v>71</v>
      </c>
      <c r="D102">
        <v>56</v>
      </c>
      <c r="E102">
        <v>9</v>
      </c>
      <c r="F102">
        <f>SUM(Tabulka13[[#This Row],[ČJ]:[M]])</f>
        <v>136</v>
      </c>
      <c r="G102" s="25">
        <f>AVERAGE(Tabulka13[[#This Row],[ČJ]:[M]])</f>
        <v>45.333333333333336</v>
      </c>
      <c r="H102">
        <f>RANK(Tabulka13[[#This Row],[Celkem bodů]],Tabulka13[Celkem bodů])</f>
        <v>50</v>
      </c>
      <c r="I102" t="str">
        <f>IF(Tabulka13[[#This Row],[Celkem bodů]]&gt;=150,IF(Tabulka13[[#This Row],[Pořadí]]&lt;=30,"prijat","neprijat"),"neprijat")</f>
        <v>neprijat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5522D178-AF6A-47ED-A31E-9AB8E1BF50B4}"/>
</file>

<file path=customXml/itemProps2.xml><?xml version="1.0" encoding="utf-8"?>
<ds:datastoreItem xmlns:ds="http://schemas.openxmlformats.org/officeDocument/2006/customXml" ds:itemID="{2F2BEC5C-EF00-4FE1-8848-E9855FAE1555}"/>
</file>

<file path=customXml/itemProps3.xml><?xml version="1.0" encoding="utf-8"?>
<ds:datastoreItem xmlns:ds="http://schemas.openxmlformats.org/officeDocument/2006/customXml" ds:itemID="{FED16A23-A869-4A13-B7E0-C7F087F53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ŠTÍPA</cp:lastModifiedBy>
  <cp:revision/>
  <dcterms:created xsi:type="dcterms:W3CDTF">2015-06-05T18:19:34Z</dcterms:created>
  <dcterms:modified xsi:type="dcterms:W3CDTF">2023-02-24T09:51:13Z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