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informatika-my.sharepoint.com/personal/alex_stipa_teleinformatika_eu/Documents/skola/aplikační software/práce v hodině/"/>
    </mc:Choice>
  </mc:AlternateContent>
  <xr:revisionPtr revIDLastSave="210" documentId="8_{2FEC427E-EA0D-47B6-9C51-88B3E589A70B}" xr6:coauthVersionLast="47" xr6:coauthVersionMax="47" xr10:uidLastSave="{3EE4AB82-1067-470D-82CF-E93D6D81E51D}"/>
  <bookViews>
    <workbookView xWindow="-120" yWindow="-120" windowWidth="29040" windowHeight="15840" activeTab="3" xr2:uid="{C205646B-31F5-4E18-9005-9C30039BE69B}"/>
  </bookViews>
  <sheets>
    <sheet name="monitory" sheetId="2" r:id="rId1"/>
    <sheet name="taneční soutěž" sheetId="3" r:id="rId2"/>
    <sheet name="příjmací řízení na SŠ" sheetId="4" r:id="rId3"/>
    <sheet name="přehled cen" sheetId="5" r:id="rId4"/>
    <sheet name="analýza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M5" i="6" s="1"/>
  <c r="L6" i="6"/>
  <c r="M6" i="6" s="1"/>
  <c r="L7" i="6"/>
  <c r="M7" i="6" s="1"/>
  <c r="L8" i="6"/>
  <c r="M8" i="6"/>
  <c r="D10" i="6"/>
  <c r="E10" i="6"/>
  <c r="F10" i="6"/>
  <c r="G10" i="6"/>
  <c r="H10" i="6"/>
  <c r="I10" i="6"/>
  <c r="J10" i="6"/>
  <c r="D11" i="6"/>
  <c r="E11" i="6"/>
  <c r="F11" i="6"/>
  <c r="G11" i="6"/>
  <c r="H11" i="6"/>
  <c r="I11" i="6"/>
  <c r="J11" i="6"/>
  <c r="M10" i="6" l="1"/>
  <c r="H6" i="5"/>
  <c r="H7" i="5"/>
  <c r="H8" i="5"/>
  <c r="H9" i="5"/>
  <c r="H10" i="5"/>
  <c r="H5" i="5"/>
  <c r="G6" i="5"/>
  <c r="G7" i="5"/>
  <c r="G8" i="5"/>
  <c r="G9" i="5"/>
  <c r="G10" i="5"/>
  <c r="G5" i="5"/>
  <c r="D11" i="5"/>
  <c r="E11" i="5"/>
  <c r="F11" i="5"/>
  <c r="C11" i="5"/>
  <c r="D12" i="4"/>
  <c r="I6" i="4"/>
  <c r="I7" i="4"/>
  <c r="I8" i="4"/>
  <c r="I9" i="4"/>
  <c r="I5" i="4"/>
  <c r="E10" i="4"/>
  <c r="F10" i="4"/>
  <c r="G10" i="4"/>
  <c r="D10" i="4"/>
  <c r="H6" i="4"/>
  <c r="H7" i="4"/>
  <c r="H8" i="4"/>
  <c r="H9" i="4"/>
  <c r="H5" i="4"/>
  <c r="H7" i="3"/>
  <c r="H8" i="3"/>
  <c r="H9" i="3"/>
  <c r="H10" i="3"/>
  <c r="H6" i="3"/>
  <c r="H14" i="3" s="1"/>
  <c r="E12" i="2"/>
  <c r="D12" i="2"/>
  <c r="C12" i="2"/>
  <c r="E13" i="2"/>
  <c r="D13" i="2"/>
  <c r="C13" i="2"/>
  <c r="H12" i="3" l="1"/>
  <c r="H13" i="3"/>
</calcChain>
</file>

<file path=xl/sharedStrings.xml><?xml version="1.0" encoding="utf-8"?>
<sst xmlns="http://schemas.openxmlformats.org/spreadsheetml/2006/main" count="95" uniqueCount="87">
  <si>
    <t>přehled prodejů LCD monitorů</t>
  </si>
  <si>
    <t>měsíc</t>
  </si>
  <si>
    <t>LCD 15"</t>
  </si>
  <si>
    <t>LCD 17"</t>
  </si>
  <si>
    <t>LCD 19"</t>
  </si>
  <si>
    <t>leden</t>
  </si>
  <si>
    <t>únor</t>
  </si>
  <si>
    <t>březen</t>
  </si>
  <si>
    <t>duben</t>
  </si>
  <si>
    <t>květen</t>
  </si>
  <si>
    <t>červen</t>
  </si>
  <si>
    <t>průměrný prodej</t>
  </si>
  <si>
    <t>celkový prodej</t>
  </si>
  <si>
    <t>Výsledková listina taneční soutěže</t>
  </si>
  <si>
    <t>přidělené body</t>
  </si>
  <si>
    <t>jméno</t>
  </si>
  <si>
    <t>příjmení</t>
  </si>
  <si>
    <t>Samba</t>
  </si>
  <si>
    <t>Valčík</t>
  </si>
  <si>
    <t>Tango</t>
  </si>
  <si>
    <t>Polka</t>
  </si>
  <si>
    <t>celkem</t>
  </si>
  <si>
    <t>Karel</t>
  </si>
  <si>
    <t>Pc</t>
  </si>
  <si>
    <t>Iveta</t>
  </si>
  <si>
    <t>Novotná</t>
  </si>
  <si>
    <t>Žaneta</t>
  </si>
  <si>
    <t>nováková</t>
  </si>
  <si>
    <t>Vlastimil</t>
  </si>
  <si>
    <t>nový</t>
  </si>
  <si>
    <t>Lobotom</t>
  </si>
  <si>
    <t>Hilda</t>
  </si>
  <si>
    <t>maximalní počet bodů, dosažených v soutěži</t>
  </si>
  <si>
    <t>minimální počet bodů, dosažených v soutěži</t>
  </si>
  <si>
    <t>průměrný počet bodů, dosažených v soutěži</t>
  </si>
  <si>
    <t>příjmací řízení na střední školu</t>
  </si>
  <si>
    <t>matematika</t>
  </si>
  <si>
    <t>český jazyk</t>
  </si>
  <si>
    <t>ICT</t>
  </si>
  <si>
    <t>fyzika</t>
  </si>
  <si>
    <t>průměr</t>
  </si>
  <si>
    <t>přijat</t>
  </si>
  <si>
    <t>Novák</t>
  </si>
  <si>
    <t>Martina</t>
  </si>
  <si>
    <t>Adamcová</t>
  </si>
  <si>
    <t>Radim</t>
  </si>
  <si>
    <t>Musil</t>
  </si>
  <si>
    <t>Petra</t>
  </si>
  <si>
    <t>Malá</t>
  </si>
  <si>
    <t>Černý</t>
  </si>
  <si>
    <t>celkový průměr</t>
  </si>
  <si>
    <t>Přehled cen v obchodních domech</t>
  </si>
  <si>
    <t>obchodní domy</t>
  </si>
  <si>
    <t>máslo</t>
  </si>
  <si>
    <t>maso</t>
  </si>
  <si>
    <t>chléb</t>
  </si>
  <si>
    <t>rum</t>
  </si>
  <si>
    <t>drahý?</t>
  </si>
  <si>
    <t>Penny</t>
  </si>
  <si>
    <t>Albert</t>
  </si>
  <si>
    <t>Jednota</t>
  </si>
  <si>
    <t>COOP</t>
  </si>
  <si>
    <t>Billa</t>
  </si>
  <si>
    <t>Hruška</t>
  </si>
  <si>
    <t>průměr na 1 film</t>
  </si>
  <si>
    <t>prodané vstupenky za den</t>
  </si>
  <si>
    <t>teleshoping</t>
  </si>
  <si>
    <t>sál 4</t>
  </si>
  <si>
    <t>policie v akci</t>
  </si>
  <si>
    <t>sál 3</t>
  </si>
  <si>
    <t>titanic 2, dějiny se opakují</t>
  </si>
  <si>
    <t>sál 2</t>
  </si>
  <si>
    <t>Anavar</t>
  </si>
  <si>
    <t>sál 1</t>
  </si>
  <si>
    <t>celková tržba</t>
  </si>
  <si>
    <t>celkem prodáno</t>
  </si>
  <si>
    <t>cena za vstupenku</t>
  </si>
  <si>
    <t>neděle</t>
  </si>
  <si>
    <t>sobota</t>
  </si>
  <si>
    <t>pátek</t>
  </si>
  <si>
    <t>čtvrtek</t>
  </si>
  <si>
    <t>středa</t>
  </si>
  <si>
    <t>úterý</t>
  </si>
  <si>
    <t>pondělí</t>
  </si>
  <si>
    <t>film</t>
  </si>
  <si>
    <t>sál</t>
  </si>
  <si>
    <t>týdenní analýza prodejnosti vstupenek multikina "Central" (plný sál = 350 míst)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</si>
</sst>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.00\ [$€-1]_-;\-* #,##0.00\ [$€-1]_-;_-* &quot;-&quot;??\ [$€-1]_-;_-@_-"/>
    <numFmt numFmtId="166" formatCode="_-* #,##0.00\ [$Kč-405]_-;\-* #,##0.00\ [$Kč-405]_-;_-* &quot;-&quot;??\ [$Kč-405]_-;_-@_-"/>
    <numFmt numFmtId="167" formatCode="#,##0.00\ &quot;Kč&quot;;[Red]#,##0.00\ &quot;Kč&quot;"/>
  </numFmts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0" xfId="0" applyFont="1"/>
    <xf numFmtId="0" fontId="1" fillId="0" borderId="1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5" xfId="0" applyFont="1" applyBorder="1"/>
    <xf numFmtId="14" fontId="0" fillId="0" borderId="0" xfId="0" applyNumberFormat="1"/>
    <xf numFmtId="164" fontId="0" fillId="0" borderId="20" xfId="0" applyNumberFormat="1" applyBorder="1"/>
    <xf numFmtId="164" fontId="0" fillId="0" borderId="18" xfId="0" applyNumberFormat="1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0" fillId="0" borderId="22" xfId="0" applyBorder="1"/>
    <xf numFmtId="0" fontId="0" fillId="0" borderId="6" xfId="0" applyBorder="1"/>
    <xf numFmtId="0" fontId="0" fillId="0" borderId="1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/>
    <xf numFmtId="0" fontId="0" fillId="0" borderId="24" xfId="0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/>
    <xf numFmtId="0" fontId="0" fillId="0" borderId="28" xfId="0" applyBorder="1" applyAlignment="1">
      <alignment horizontal="center"/>
    </xf>
    <xf numFmtId="0" fontId="1" fillId="0" borderId="22" xfId="0" applyFont="1" applyBorder="1"/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2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/>
    <xf numFmtId="0" fontId="0" fillId="0" borderId="37" xfId="0" applyBorder="1"/>
    <xf numFmtId="165" fontId="0" fillId="0" borderId="0" xfId="0" applyNumberFormat="1"/>
    <xf numFmtId="164" fontId="0" fillId="0" borderId="38" xfId="0" applyNumberFormat="1" applyBorder="1"/>
    <xf numFmtId="0" fontId="1" fillId="0" borderId="23" xfId="0" applyFont="1" applyBorder="1"/>
    <xf numFmtId="0" fontId="1" fillId="0" borderId="11" xfId="0" applyFont="1" applyBorder="1"/>
    <xf numFmtId="0" fontId="0" fillId="0" borderId="39" xfId="0" applyBorder="1"/>
    <xf numFmtId="0" fontId="0" fillId="0" borderId="42" xfId="0" applyBorder="1"/>
    <xf numFmtId="0" fontId="0" fillId="0" borderId="27" xfId="0" applyBorder="1"/>
    <xf numFmtId="0" fontId="0" fillId="0" borderId="43" xfId="0" applyBorder="1"/>
    <xf numFmtId="0" fontId="0" fillId="0" borderId="44" xfId="0" applyBorder="1"/>
    <xf numFmtId="166" fontId="0" fillId="0" borderId="31" xfId="0" applyNumberFormat="1" applyBorder="1"/>
    <xf numFmtId="166" fontId="0" fillId="0" borderId="40" xfId="0" applyNumberFormat="1" applyBorder="1"/>
    <xf numFmtId="166" fontId="0" fillId="0" borderId="26" xfId="0" applyNumberFormat="1" applyBorder="1"/>
    <xf numFmtId="166" fontId="0" fillId="0" borderId="27" xfId="0" applyNumberFormat="1" applyBorder="1"/>
    <xf numFmtId="166" fontId="0" fillId="0" borderId="25" xfId="0" applyNumberFormat="1" applyBorder="1"/>
    <xf numFmtId="166" fontId="0" fillId="0" borderId="0" xfId="0" applyNumberFormat="1" applyAlignment="1">
      <alignment horizontal="center"/>
    </xf>
    <xf numFmtId="166" fontId="0" fillId="0" borderId="41" xfId="0" applyNumberFormat="1" applyBorder="1"/>
    <xf numFmtId="0" fontId="0" fillId="2" borderId="41" xfId="0" applyFill="1" applyBorder="1"/>
    <xf numFmtId="0" fontId="0" fillId="2" borderId="42" xfId="0" applyFill="1" applyBorder="1"/>
    <xf numFmtId="0" fontId="0" fillId="0" borderId="45" xfId="0" applyBorder="1"/>
    <xf numFmtId="0" fontId="0" fillId="0" borderId="20" xfId="0" applyBorder="1"/>
    <xf numFmtId="0" fontId="1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18" xfId="0" applyBorder="1"/>
    <xf numFmtId="0" fontId="0" fillId="0" borderId="21" xfId="0" applyBorder="1"/>
    <xf numFmtId="0" fontId="0" fillId="0" borderId="2" xfId="0" applyBorder="1"/>
    <xf numFmtId="0" fontId="0" fillId="0" borderId="13" xfId="0" applyBorder="1"/>
    <xf numFmtId="0" fontId="0" fillId="0" borderId="19" xfId="0" applyBorder="1"/>
    <xf numFmtId="0" fontId="0" fillId="0" borderId="15" xfId="0" applyBorder="1"/>
    <xf numFmtId="0" fontId="0" fillId="0" borderId="16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2" xfId="0" applyFont="1" applyBorder="1"/>
    <xf numFmtId="0" fontId="1" fillId="0" borderId="5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46" xfId="0" applyBorder="1"/>
    <xf numFmtId="0" fontId="0" fillId="0" borderId="42" xfId="0" applyBorder="1"/>
    <xf numFmtId="0" fontId="0" fillId="0" borderId="41" xfId="0" applyBorder="1"/>
    <xf numFmtId="167" fontId="0" fillId="0" borderId="25" xfId="0" applyNumberFormat="1" applyBorder="1"/>
    <xf numFmtId="0" fontId="0" fillId="0" borderId="26" xfId="0" applyBorder="1"/>
    <xf numFmtId="0" fontId="0" fillId="0" borderId="39" xfId="0" applyBorder="1"/>
    <xf numFmtId="0" fontId="0" fillId="0" borderId="31" xfId="0" applyBorder="1"/>
    <xf numFmtId="167" fontId="0" fillId="2" borderId="44" xfId="0" applyNumberFormat="1" applyFill="1" applyBorder="1"/>
    <xf numFmtId="0" fontId="0" fillId="2" borderId="47" xfId="0" applyFill="1" applyBorder="1"/>
    <xf numFmtId="167" fontId="0" fillId="2" borderId="11" xfId="0" applyNumberFormat="1" applyFill="1" applyBorder="1"/>
    <xf numFmtId="0" fontId="0" fillId="0" borderId="48" xfId="0" applyBorder="1"/>
    <xf numFmtId="0" fontId="0" fillId="2" borderId="11" xfId="0" applyFill="1" applyBorder="1"/>
    <xf numFmtId="167" fontId="0" fillId="2" borderId="10" xfId="0" applyNumberFormat="1" applyFill="1" applyBorder="1"/>
    <xf numFmtId="0" fontId="0" fillId="2" borderId="49" xfId="0" applyFill="1" applyBorder="1"/>
    <xf numFmtId="0" fontId="0" fillId="0" borderId="34" xfId="0" applyBorder="1"/>
    <xf numFmtId="0" fontId="0" fillId="2" borderId="10" xfId="0" applyFill="1" applyBorder="1"/>
    <xf numFmtId="167" fontId="0" fillId="2" borderId="50" xfId="0" applyNumberFormat="1" applyFill="1" applyBorder="1"/>
    <xf numFmtId="167" fontId="0" fillId="2" borderId="45" xfId="0" applyNumberFormat="1" applyFill="1" applyBorder="1"/>
    <xf numFmtId="0" fontId="0" fillId="2" borderId="51" xfId="0" applyFill="1" applyBorder="1"/>
    <xf numFmtId="167" fontId="0" fillId="2" borderId="23" xfId="0" applyNumberFormat="1" applyFill="1" applyBorder="1"/>
    <xf numFmtId="0" fontId="0" fillId="0" borderId="52" xfId="0" applyBorder="1"/>
    <xf numFmtId="0" fontId="0" fillId="2" borderId="23" xfId="0" applyFill="1" applyBorder="1"/>
    <xf numFmtId="0" fontId="0" fillId="2" borderId="39" xfId="0" applyFill="1" applyBorder="1" applyAlignment="1">
      <alignment horizontal="center" vertical="center" textRotation="45"/>
    </xf>
    <xf numFmtId="0" fontId="0" fillId="2" borderId="1" xfId="0" applyFill="1" applyBorder="1" applyAlignment="1">
      <alignment horizontal="center" vertical="center" textRotation="45"/>
    </xf>
    <xf numFmtId="0" fontId="0" fillId="0" borderId="53" xfId="0" applyBorder="1" applyAlignment="1">
      <alignment horizontal="center" vertical="center" textRotation="45"/>
    </xf>
    <xf numFmtId="0" fontId="0" fillId="0" borderId="54" xfId="0" applyBorder="1" applyAlignment="1">
      <alignment horizontal="center" vertical="center" textRotation="45"/>
    </xf>
    <xf numFmtId="0" fontId="0" fillId="0" borderId="55" xfId="0" applyBorder="1" applyAlignment="1">
      <alignment horizontal="center" vertical="center" textRotation="45"/>
    </xf>
    <xf numFmtId="0" fontId="5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view3D>
      <c:rotX val="80"/>
      <c:rotY val="3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0683499303448"/>
          <c:y val="0.18397568152917593"/>
          <c:w val="0.87177276467536213"/>
          <c:h val="0.5358330981863757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monitory!$C$4</c:f>
              <c:strCache>
                <c:ptCount val="1"/>
                <c:pt idx="0">
                  <c:v>LCD 15"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monitory!$B$5:$B$10</c:f>
              <c:strCache>
                <c:ptCount val="6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</c:strCache>
            </c:strRef>
          </c:cat>
          <c:val>
            <c:numRef>
              <c:f>monitory!$C$5:$C$10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8-4939-9C32-0CDA10A6E904}"/>
            </c:ext>
          </c:extLst>
        </c:ser>
        <c:ser>
          <c:idx val="1"/>
          <c:order val="1"/>
          <c:tx>
            <c:strRef>
              <c:f>monitory!$D$4</c:f>
              <c:strCache>
                <c:ptCount val="1"/>
                <c:pt idx="0">
                  <c:v>LCD 17"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algn="t" rotWithShape="0">
                  <a:schemeClr val="accent2"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0-BE75-4B47-AADB-CEBB6B17DA9E}"/>
              </c:ext>
            </c:extLst>
          </c:dPt>
          <c:cat>
            <c:strRef>
              <c:f>monitory!$B$5:$B$10</c:f>
              <c:strCache>
                <c:ptCount val="6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</c:strCache>
            </c:strRef>
          </c:cat>
          <c:val>
            <c:numRef>
              <c:f>monitory!$D$5:$D$10</c:f>
              <c:numCache>
                <c:formatCode>General</c:formatCode>
                <c:ptCount val="6"/>
                <c:pt idx="0">
                  <c:v>12</c:v>
                </c:pt>
                <c:pt idx="1">
                  <c:v>11</c:v>
                </c:pt>
                <c:pt idx="2">
                  <c:v>2551</c:v>
                </c:pt>
                <c:pt idx="3">
                  <c:v>21</c:v>
                </c:pt>
                <c:pt idx="4">
                  <c:v>15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8-4939-9C32-0CDA10A6E904}"/>
            </c:ext>
          </c:extLst>
        </c:ser>
        <c:ser>
          <c:idx val="2"/>
          <c:order val="2"/>
          <c:tx>
            <c:strRef>
              <c:f>monitory!$E$4</c:f>
              <c:strCache>
                <c:ptCount val="1"/>
                <c:pt idx="0">
                  <c:v>LCD 19"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1270000" dist="838200" sx="200000" sy="200000" algn="r" rotWithShape="0">
                <a:schemeClr val="accent2"/>
              </a:outerShdw>
            </a:effectLst>
            <a:scene3d>
              <a:camera prst="orthographicFront"/>
              <a:lightRig rig="threePt" dir="t"/>
            </a:scene3d>
            <a:sp3d/>
          </c:spPr>
          <c:invertIfNegative val="0"/>
          <c:cat>
            <c:strRef>
              <c:f>monitory!$B$5:$B$10</c:f>
              <c:strCache>
                <c:ptCount val="6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</c:strCache>
            </c:strRef>
          </c:cat>
          <c:val>
            <c:numRef>
              <c:f>monitory!$E$5:$E$10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555</c:v>
                </c:pt>
                <c:pt idx="4">
                  <c:v>5555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58-4939-9C32-0CDA10A6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gapDepth val="500"/>
        <c:shape val="box"/>
        <c:axId val="45757231"/>
        <c:axId val="45750159"/>
        <c:axId val="0"/>
      </c:bar3DChart>
      <c:catAx>
        <c:axId val="4575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5750159"/>
        <c:crosses val="autoZero"/>
        <c:auto val="1"/>
        <c:lblAlgn val="ctr"/>
        <c:lblOffset val="100"/>
        <c:noMultiLvlLbl val="0"/>
      </c:catAx>
      <c:valAx>
        <c:axId val="457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57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obchodní domy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'přehled cen'!$B$5:$B$10</c:f>
              <c:strCache>
                <c:ptCount val="6"/>
                <c:pt idx="0">
                  <c:v>Penny</c:v>
                </c:pt>
                <c:pt idx="1">
                  <c:v>Albert</c:v>
                </c:pt>
                <c:pt idx="2">
                  <c:v>Jednota</c:v>
                </c:pt>
                <c:pt idx="3">
                  <c:v>COOP</c:v>
                </c:pt>
                <c:pt idx="4">
                  <c:v>Billa</c:v>
                </c:pt>
                <c:pt idx="5">
                  <c:v>Hruška</c:v>
                </c:pt>
              </c:strCache>
            </c:strRef>
          </c:cat>
          <c:val>
            <c:numRef>
              <c:f>'přehled cen'!$G$5:$G$10</c:f>
              <c:numCache>
                <c:formatCode>_-* #\ ##0.00\ [$Kč-405]_-;\-* #\ ##0.00\ [$Kč-405]_-;_-* "-"??\ [$Kč-405]_-;_-@_-</c:formatCode>
                <c:ptCount val="6"/>
                <c:pt idx="0">
                  <c:v>274</c:v>
                </c:pt>
                <c:pt idx="1">
                  <c:v>287</c:v>
                </c:pt>
                <c:pt idx="2">
                  <c:v>310</c:v>
                </c:pt>
                <c:pt idx="3">
                  <c:v>293</c:v>
                </c:pt>
                <c:pt idx="4">
                  <c:v>352</c:v>
                </c:pt>
                <c:pt idx="5">
                  <c:v>322.5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1-4C8F-AD7D-9F3A9F2FE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1512111"/>
        <c:axId val="1501513775"/>
      </c:barChart>
      <c:catAx>
        <c:axId val="150151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01513775"/>
        <c:crosses val="autoZero"/>
        <c:auto val="1"/>
        <c:lblAlgn val="ctr"/>
        <c:lblOffset val="100"/>
        <c:noMultiLvlLbl val="0"/>
      </c:catAx>
      <c:valAx>
        <c:axId val="15015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Kč-405]_-;\-* #\ ##0.00\ [$Kč-405]_-;_-* &quot;-&quot;??\ [$Kč-40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0151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tydení analýza</a:t>
            </a:r>
            <a:r>
              <a:rPr lang="cs-CZ" baseline="0"/>
              <a:t> kina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analýza!$C$5</c:f>
              <c:strCache>
                <c:ptCount val="1"/>
                <c:pt idx="0">
                  <c:v>Anavar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analýza!$D$4:$J$4</c:f>
              <c:strCache>
                <c:ptCount val="7"/>
                <c:pt idx="0">
                  <c:v>pondělí</c:v>
                </c:pt>
                <c:pt idx="1">
                  <c:v>úterý</c:v>
                </c:pt>
                <c:pt idx="2">
                  <c:v>středa</c:v>
                </c:pt>
                <c:pt idx="3">
                  <c:v>čtvrtek</c:v>
                </c:pt>
                <c:pt idx="4">
                  <c:v>pátek</c:v>
                </c:pt>
                <c:pt idx="5">
                  <c:v>sobota</c:v>
                </c:pt>
                <c:pt idx="6">
                  <c:v>neděle</c:v>
                </c:pt>
              </c:strCache>
            </c:strRef>
          </c:cat>
          <c:val>
            <c:numRef>
              <c:f>analýza!$D$5:$J$5</c:f>
              <c:numCache>
                <c:formatCode>General</c:formatCode>
                <c:ptCount val="7"/>
                <c:pt idx="0">
                  <c:v>230</c:v>
                </c:pt>
                <c:pt idx="1">
                  <c:v>124</c:v>
                </c:pt>
                <c:pt idx="2">
                  <c:v>0</c:v>
                </c:pt>
                <c:pt idx="3">
                  <c:v>456</c:v>
                </c:pt>
                <c:pt idx="4">
                  <c:v>95</c:v>
                </c:pt>
                <c:pt idx="5">
                  <c:v>489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2-402A-923E-FD9F6B5702EC}"/>
            </c:ext>
          </c:extLst>
        </c:ser>
        <c:ser>
          <c:idx val="1"/>
          <c:order val="1"/>
          <c:tx>
            <c:strRef>
              <c:f>analýza!$C$6</c:f>
              <c:strCache>
                <c:ptCount val="1"/>
                <c:pt idx="0">
                  <c:v>titanic 2, dějiny se opakují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analýza!$D$4:$J$4</c:f>
              <c:strCache>
                <c:ptCount val="7"/>
                <c:pt idx="0">
                  <c:v>pondělí</c:v>
                </c:pt>
                <c:pt idx="1">
                  <c:v>úterý</c:v>
                </c:pt>
                <c:pt idx="2">
                  <c:v>středa</c:v>
                </c:pt>
                <c:pt idx="3">
                  <c:v>čtvrtek</c:v>
                </c:pt>
                <c:pt idx="4">
                  <c:v>pátek</c:v>
                </c:pt>
                <c:pt idx="5">
                  <c:v>sobota</c:v>
                </c:pt>
                <c:pt idx="6">
                  <c:v>neděle</c:v>
                </c:pt>
              </c:strCache>
            </c:strRef>
          </c:cat>
          <c:val>
            <c:numRef>
              <c:f>analýza!$D$6:$J$6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55</c:v>
                </c:pt>
                <c:pt idx="3">
                  <c:v>132</c:v>
                </c:pt>
                <c:pt idx="4">
                  <c:v>45</c:v>
                </c:pt>
                <c:pt idx="5">
                  <c:v>456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2-402A-923E-FD9F6B5702EC}"/>
            </c:ext>
          </c:extLst>
        </c:ser>
        <c:ser>
          <c:idx val="2"/>
          <c:order val="2"/>
          <c:tx>
            <c:strRef>
              <c:f>analýza!$C$7</c:f>
              <c:strCache>
                <c:ptCount val="1"/>
                <c:pt idx="0">
                  <c:v>policie v akci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analýza!$D$4:$J$4</c:f>
              <c:strCache>
                <c:ptCount val="7"/>
                <c:pt idx="0">
                  <c:v>pondělí</c:v>
                </c:pt>
                <c:pt idx="1">
                  <c:v>úterý</c:v>
                </c:pt>
                <c:pt idx="2">
                  <c:v>středa</c:v>
                </c:pt>
                <c:pt idx="3">
                  <c:v>čtvrtek</c:v>
                </c:pt>
                <c:pt idx="4">
                  <c:v>pátek</c:v>
                </c:pt>
                <c:pt idx="5">
                  <c:v>sobota</c:v>
                </c:pt>
                <c:pt idx="6">
                  <c:v>neděle</c:v>
                </c:pt>
              </c:strCache>
            </c:strRef>
          </c:cat>
          <c:val>
            <c:numRef>
              <c:f>analýza!$D$7:$J$7</c:f>
              <c:numCache>
                <c:formatCode>General</c:formatCode>
                <c:ptCount val="7"/>
                <c:pt idx="0">
                  <c:v>444</c:v>
                </c:pt>
                <c:pt idx="1">
                  <c:v>454</c:v>
                </c:pt>
                <c:pt idx="2">
                  <c:v>457</c:v>
                </c:pt>
                <c:pt idx="3">
                  <c:v>415</c:v>
                </c:pt>
                <c:pt idx="4">
                  <c:v>568</c:v>
                </c:pt>
                <c:pt idx="5">
                  <c:v>1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2-402A-923E-FD9F6B5702EC}"/>
            </c:ext>
          </c:extLst>
        </c:ser>
        <c:ser>
          <c:idx val="3"/>
          <c:order val="3"/>
          <c:tx>
            <c:strRef>
              <c:f>analýza!$C$8</c:f>
              <c:strCache>
                <c:ptCount val="1"/>
                <c:pt idx="0">
                  <c:v>teleshoping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analýza!$D$4:$J$4</c:f>
              <c:strCache>
                <c:ptCount val="7"/>
                <c:pt idx="0">
                  <c:v>pondělí</c:v>
                </c:pt>
                <c:pt idx="1">
                  <c:v>úterý</c:v>
                </c:pt>
                <c:pt idx="2">
                  <c:v>středa</c:v>
                </c:pt>
                <c:pt idx="3">
                  <c:v>čtvrtek</c:v>
                </c:pt>
                <c:pt idx="4">
                  <c:v>pátek</c:v>
                </c:pt>
                <c:pt idx="5">
                  <c:v>sobota</c:v>
                </c:pt>
                <c:pt idx="6">
                  <c:v>neděle</c:v>
                </c:pt>
              </c:strCache>
            </c:strRef>
          </c:cat>
          <c:val>
            <c:numRef>
              <c:f>analýza!$D$8:$J$8</c:f>
              <c:numCache>
                <c:formatCode>General</c:formatCode>
                <c:ptCount val="7"/>
                <c:pt idx="0">
                  <c:v>445</c:v>
                </c:pt>
                <c:pt idx="1">
                  <c:v>0</c:v>
                </c:pt>
                <c:pt idx="2">
                  <c:v>123</c:v>
                </c:pt>
                <c:pt idx="3">
                  <c:v>321</c:v>
                </c:pt>
                <c:pt idx="4">
                  <c:v>135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02-402A-923E-FD9F6B570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054783"/>
        <c:axId val="300054367"/>
      </c:barChart>
      <c:catAx>
        <c:axId val="300054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dny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00054367"/>
        <c:crosses val="autoZero"/>
        <c:auto val="1"/>
        <c:lblAlgn val="ctr"/>
        <c:lblOffset val="100"/>
        <c:noMultiLvlLbl val="0"/>
      </c:catAx>
      <c:valAx>
        <c:axId val="30005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prodanné vstupenky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000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analýza!$L$4</c:f>
              <c:strCache>
                <c:ptCount val="1"/>
                <c:pt idx="0">
                  <c:v>celkem prodáno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analýza!$C$5:$C$8</c:f>
              <c:strCache>
                <c:ptCount val="4"/>
                <c:pt idx="0">
                  <c:v>Anavar</c:v>
                </c:pt>
                <c:pt idx="1">
                  <c:v>titanic 2, dějiny se opakují</c:v>
                </c:pt>
                <c:pt idx="2">
                  <c:v>policie v akci</c:v>
                </c:pt>
                <c:pt idx="3">
                  <c:v>teleshoping</c:v>
                </c:pt>
              </c:strCache>
            </c:strRef>
          </c:cat>
          <c:val>
            <c:numRef>
              <c:f>analýza!$L$5:$L$8</c:f>
              <c:numCache>
                <c:formatCode>General</c:formatCode>
                <c:ptCount val="4"/>
                <c:pt idx="0">
                  <c:v>2025</c:v>
                </c:pt>
                <c:pt idx="1">
                  <c:v>791</c:v>
                </c:pt>
                <c:pt idx="2">
                  <c:v>2487</c:v>
                </c:pt>
                <c:pt idx="3">
                  <c:v>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0-4E4C-88E1-FE65131D05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5182255"/>
        <c:axId val="2045181839"/>
      </c:barChart>
      <c:catAx>
        <c:axId val="204518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45181839"/>
        <c:crosses val="autoZero"/>
        <c:auto val="1"/>
        <c:lblAlgn val="ctr"/>
        <c:lblOffset val="100"/>
        <c:noMultiLvlLbl val="0"/>
      </c:catAx>
      <c:valAx>
        <c:axId val="204518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4518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376905</xdr:colOff>
      <xdr:row>3</xdr:row>
      <xdr:rowOff>6292</xdr:rowOff>
    </xdr:from>
    <xdr:to>
      <xdr:col>9</xdr:col>
      <xdr:colOff>804021</xdr:colOff>
      <xdr:row>17</xdr:row>
      <xdr:rowOff>41806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3B6CD325-8265-6A77-86ED-4355987D0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2</xdr:row>
      <xdr:rowOff>90487</xdr:rowOff>
    </xdr:from>
    <xdr:to>
      <xdr:col>16</xdr:col>
      <xdr:colOff>76200</xdr:colOff>
      <xdr:row>16</xdr:row>
      <xdr:rowOff>128587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9F1A3F3-F4B8-3810-C7F3-CC416BA35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152400</xdr:colOff>
      <xdr:row>3</xdr:row>
      <xdr:rowOff>47626</xdr:rowOff>
    </xdr:from>
    <xdr:ext cx="2762250" cy="952500"/>
    <xdr:pic>
      <xdr:nvPicPr>
        <xdr:cNvPr id="2" name="Obrázek 1" descr="Kino Počátky: Počátky">
          <a:extLst>
            <a:ext uri="{FF2B5EF4-FFF2-40B4-BE49-F238E27FC236}">
              <a16:creationId xmlns:a16="http://schemas.microsoft.com/office/drawing/2014/main" id="{704FF94A-CA82-4F8B-92B3-6D6CA900A9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5" t="34008" r="-203" b="25506"/>
        <a:stretch/>
      </xdr:blipFill>
      <xdr:spPr bwMode="auto">
        <a:xfrm>
          <a:off x="9296400" y="619126"/>
          <a:ext cx="2762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11</xdr:row>
      <xdr:rowOff>109537</xdr:rowOff>
    </xdr:from>
    <xdr:to>
      <xdr:col>6</xdr:col>
      <xdr:colOff>400050</xdr:colOff>
      <xdr:row>25</xdr:row>
      <xdr:rowOff>185737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9019BBAD-72FB-4F98-946F-6EDD05705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438150</xdr:colOff>
      <xdr:row>11</xdr:row>
      <xdr:rowOff>109537</xdr:rowOff>
    </xdr:from>
    <xdr:to>
      <xdr:col>13</xdr:col>
      <xdr:colOff>419100</xdr:colOff>
      <xdr:row>25</xdr:row>
      <xdr:rowOff>185737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73B5E05A-CC97-460C-84D2-2ED895D09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A09B-20E9-4F9D-AAE3-61C6275708F9}">
  <dimension ref="B2:L13"/>
  <sheetViews>
    <sheetView zoomScale="145" zoomScaleNormal="145" workbookViewId="0">
      <selection activeCell="B16" sqref="B16"/>
    </sheetView>
  </sheetViews>
  <sheetFormatPr defaultRowHeight="15" x14ac:dyDescent="0.25"/>
  <cols>
    <col min="1" max="1" width="3.7109375" customWidth="1"/>
    <col min="2" max="2" width="15.7109375" customWidth="1"/>
    <col min="6" max="12" width="15.42578125" customWidth="1"/>
  </cols>
  <sheetData>
    <row r="2" spans="2:12" ht="18.75" x14ac:dyDescent="0.3">
      <c r="B2" s="13" t="s">
        <v>0</v>
      </c>
    </row>
    <row r="3" spans="2:12" ht="15.75" thickBot="1" x14ac:dyDescent="0.3"/>
    <row r="4" spans="2:12" ht="15.75" thickBot="1" x14ac:dyDescent="0.3">
      <c r="B4" s="14" t="s">
        <v>1</v>
      </c>
      <c r="C4" s="15" t="s">
        <v>2</v>
      </c>
      <c r="D4" s="17" t="s">
        <v>3</v>
      </c>
      <c r="E4" s="16" t="s">
        <v>4</v>
      </c>
      <c r="F4" s="18"/>
      <c r="G4" s="18"/>
      <c r="H4" s="18"/>
      <c r="I4" s="18"/>
      <c r="J4" s="18"/>
      <c r="K4" s="18"/>
      <c r="L4" s="18"/>
    </row>
    <row r="5" spans="2:12" x14ac:dyDescent="0.25">
      <c r="B5" s="5" t="s">
        <v>5</v>
      </c>
      <c r="C5" s="4">
        <v>4</v>
      </c>
      <c r="D5" s="1">
        <v>12</v>
      </c>
      <c r="E5" s="8">
        <v>0</v>
      </c>
    </row>
    <row r="6" spans="2:12" x14ac:dyDescent="0.25">
      <c r="B6" s="6" t="s">
        <v>6</v>
      </c>
      <c r="C6" s="2">
        <v>2</v>
      </c>
      <c r="D6" s="3">
        <v>11</v>
      </c>
      <c r="E6" s="9">
        <v>0</v>
      </c>
    </row>
    <row r="7" spans="2:12" x14ac:dyDescent="0.25">
      <c r="B7" s="6" t="s">
        <v>7</v>
      </c>
      <c r="C7" s="2">
        <v>0</v>
      </c>
      <c r="D7" s="3">
        <v>2551</v>
      </c>
      <c r="E7" s="9">
        <v>0</v>
      </c>
    </row>
    <row r="8" spans="2:12" x14ac:dyDescent="0.25">
      <c r="B8" s="6" t="s">
        <v>8</v>
      </c>
      <c r="C8" s="2">
        <v>1</v>
      </c>
      <c r="D8" s="3">
        <v>21</v>
      </c>
      <c r="E8" s="9">
        <v>555</v>
      </c>
    </row>
    <row r="9" spans="2:12" x14ac:dyDescent="0.25">
      <c r="B9" s="6" t="s">
        <v>9</v>
      </c>
      <c r="C9" s="2">
        <v>8</v>
      </c>
      <c r="D9" s="3">
        <v>15</v>
      </c>
      <c r="E9" s="9">
        <v>5555</v>
      </c>
    </row>
    <row r="10" spans="2:12" ht="15.75" thickBot="1" x14ac:dyDescent="0.3">
      <c r="B10" s="7" t="s">
        <v>10</v>
      </c>
      <c r="C10" s="10">
        <v>2</v>
      </c>
      <c r="D10" s="11">
        <v>24</v>
      </c>
      <c r="E10" s="12">
        <v>55</v>
      </c>
    </row>
    <row r="11" spans="2:12" ht="15.75" thickBot="1" x14ac:dyDescent="0.3"/>
    <row r="12" spans="2:12" x14ac:dyDescent="0.25">
      <c r="B12" s="61" t="s">
        <v>11</v>
      </c>
      <c r="C12" s="60">
        <f>AVERAGE(C5:C10)</f>
        <v>2.8333333333333335</v>
      </c>
      <c r="D12" s="19">
        <f>AVERAGE(D5:D10)</f>
        <v>439</v>
      </c>
      <c r="E12" s="20">
        <f>AVERAGE(E5:E10)</f>
        <v>1027.5</v>
      </c>
    </row>
    <row r="13" spans="2:12" ht="15.75" thickBot="1" x14ac:dyDescent="0.3">
      <c r="B13" s="62" t="s">
        <v>12</v>
      </c>
      <c r="C13" s="10">
        <f>SUM(C5:C10)</f>
        <v>17</v>
      </c>
      <c r="D13" s="11">
        <f>SUM(D5:D10)</f>
        <v>2634</v>
      </c>
      <c r="E13" s="12">
        <f>SUM(E5:E10)</f>
        <v>6165</v>
      </c>
    </row>
  </sheetData>
  <phoneticPr fontId="2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18B5-C4C7-4E6C-989C-08D1C92BD024}">
  <dimension ref="A2:H14"/>
  <sheetViews>
    <sheetView zoomScale="130" zoomScaleNormal="130" workbookViewId="0">
      <selection activeCell="J11" sqref="J11"/>
    </sheetView>
  </sheetViews>
  <sheetFormatPr defaultRowHeight="15" x14ac:dyDescent="0.25"/>
  <cols>
    <col min="7" max="7" width="1.7109375" customWidth="1"/>
  </cols>
  <sheetData>
    <row r="2" spans="1:8" ht="18.75" x14ac:dyDescent="0.3">
      <c r="B2" s="91" t="s">
        <v>13</v>
      </c>
      <c r="C2" s="92"/>
      <c r="D2" s="92"/>
      <c r="E2" s="92"/>
      <c r="F2" s="92"/>
    </row>
    <row r="3" spans="1:8" ht="15.75" thickBot="1" x14ac:dyDescent="0.3"/>
    <row r="4" spans="1:8" ht="15.75" thickBot="1" x14ac:dyDescent="0.3">
      <c r="C4" s="79" t="s">
        <v>14</v>
      </c>
      <c r="D4" s="80"/>
      <c r="E4" s="80"/>
      <c r="F4" s="81"/>
    </row>
    <row r="5" spans="1:8" ht="15.75" thickBot="1" x14ac:dyDescent="0.3">
      <c r="A5" s="48" t="s">
        <v>15</v>
      </c>
      <c r="B5" s="16" t="s">
        <v>16</v>
      </c>
      <c r="C5" s="15" t="s">
        <v>17</v>
      </c>
      <c r="D5" s="17" t="s">
        <v>18</v>
      </c>
      <c r="E5" s="17" t="s">
        <v>19</v>
      </c>
      <c r="F5" s="16" t="s">
        <v>20</v>
      </c>
      <c r="H5" s="14" t="s">
        <v>21</v>
      </c>
    </row>
    <row r="6" spans="1:8" x14ac:dyDescent="0.25">
      <c r="A6" s="21" t="s">
        <v>22</v>
      </c>
      <c r="B6" s="22" t="s">
        <v>23</v>
      </c>
      <c r="C6" s="33">
        <v>10</v>
      </c>
      <c r="D6" s="34">
        <v>10</v>
      </c>
      <c r="E6" s="34">
        <v>10</v>
      </c>
      <c r="F6" s="35">
        <v>10</v>
      </c>
      <c r="H6" s="42">
        <f>SUM(C6:F6)</f>
        <v>40</v>
      </c>
    </row>
    <row r="7" spans="1:8" ht="14.25" customHeight="1" x14ac:dyDescent="0.25">
      <c r="A7" s="23" t="s">
        <v>24</v>
      </c>
      <c r="B7" s="9" t="s">
        <v>25</v>
      </c>
      <c r="C7" s="36">
        <v>1</v>
      </c>
      <c r="D7" s="37">
        <v>1</v>
      </c>
      <c r="E7" s="37">
        <v>2</v>
      </c>
      <c r="F7" s="38">
        <v>1</v>
      </c>
      <c r="H7" s="43">
        <f>SUM(C7:F7)</f>
        <v>5</v>
      </c>
    </row>
    <row r="8" spans="1:8" x14ac:dyDescent="0.25">
      <c r="A8" s="23" t="s">
        <v>26</v>
      </c>
      <c r="B8" s="9" t="s">
        <v>27</v>
      </c>
      <c r="C8" s="36">
        <v>4</v>
      </c>
      <c r="D8" s="37">
        <v>4</v>
      </c>
      <c r="E8" s="37">
        <v>8</v>
      </c>
      <c r="F8" s="38">
        <v>1</v>
      </c>
      <c r="H8" s="43">
        <f>SUM(C8:F8)</f>
        <v>17</v>
      </c>
    </row>
    <row r="9" spans="1:8" x14ac:dyDescent="0.25">
      <c r="A9" s="23" t="s">
        <v>28</v>
      </c>
      <c r="B9" s="9" t="s">
        <v>29</v>
      </c>
      <c r="C9" s="36">
        <v>7</v>
      </c>
      <c r="D9" s="37">
        <v>1</v>
      </c>
      <c r="E9" s="37">
        <v>4</v>
      </c>
      <c r="F9" s="38">
        <v>5</v>
      </c>
      <c r="H9" s="43">
        <f>SUM(C9:F9)</f>
        <v>17</v>
      </c>
    </row>
    <row r="10" spans="1:8" ht="15.75" thickBot="1" x14ac:dyDescent="0.3">
      <c r="A10" s="24" t="s">
        <v>30</v>
      </c>
      <c r="B10" s="12" t="s">
        <v>31</v>
      </c>
      <c r="C10" s="39">
        <v>3</v>
      </c>
      <c r="D10" s="40">
        <v>7</v>
      </c>
      <c r="E10" s="40">
        <v>8</v>
      </c>
      <c r="F10" s="41">
        <v>1</v>
      </c>
      <c r="H10" s="44">
        <f>SUM(C10:F10)</f>
        <v>19</v>
      </c>
    </row>
    <row r="11" spans="1:8" ht="15.75" thickBot="1" x14ac:dyDescent="0.3"/>
    <row r="12" spans="1:8" x14ac:dyDescent="0.25">
      <c r="A12" s="32"/>
      <c r="B12" s="82" t="s">
        <v>32</v>
      </c>
      <c r="C12" s="83"/>
      <c r="D12" s="83"/>
      <c r="E12" s="83"/>
      <c r="F12" s="84"/>
      <c r="H12" s="45">
        <f>MAX(H6:H10)</f>
        <v>40</v>
      </c>
    </row>
    <row r="13" spans="1:8" x14ac:dyDescent="0.25">
      <c r="B13" s="85" t="s">
        <v>33</v>
      </c>
      <c r="C13" s="86"/>
      <c r="D13" s="86"/>
      <c r="E13" s="86"/>
      <c r="F13" s="87"/>
      <c r="H13" s="43">
        <f>MIN(H6:H10)</f>
        <v>5</v>
      </c>
    </row>
    <row r="14" spans="1:8" ht="15.75" thickBot="1" x14ac:dyDescent="0.3">
      <c r="B14" s="88" t="s">
        <v>34</v>
      </c>
      <c r="C14" s="89"/>
      <c r="D14" s="89"/>
      <c r="E14" s="89"/>
      <c r="F14" s="90"/>
      <c r="H14" s="44">
        <f>AVERAGE(H6:H10)</f>
        <v>19.600000000000001</v>
      </c>
    </row>
  </sheetData>
  <mergeCells count="5">
    <mergeCell ref="C4:F4"/>
    <mergeCell ref="B12:F12"/>
    <mergeCell ref="B13:F13"/>
    <mergeCell ref="B14:F14"/>
    <mergeCell ref="B2:F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CC82-D6DB-4230-807B-717C0D10DE11}">
  <dimension ref="B2:I15"/>
  <sheetViews>
    <sheetView workbookViewId="0">
      <selection activeCell="M22" sqref="M22:N22"/>
    </sheetView>
  </sheetViews>
  <sheetFormatPr defaultRowHeight="15" x14ac:dyDescent="0.25"/>
  <cols>
    <col min="1" max="1" width="3.7109375" customWidth="1"/>
    <col min="4" max="4" width="11.140625" customWidth="1"/>
    <col min="5" max="5" width="10.7109375" customWidth="1"/>
    <col min="9" max="9" width="9.42578125" bestFit="1" customWidth="1"/>
  </cols>
  <sheetData>
    <row r="2" spans="2:9" ht="21" x14ac:dyDescent="0.35">
      <c r="B2" s="95" t="s">
        <v>35</v>
      </c>
      <c r="C2" s="95"/>
      <c r="D2" s="95"/>
      <c r="E2" s="95"/>
    </row>
    <row r="3" spans="2:9" ht="15.75" thickBot="1" x14ac:dyDescent="0.3"/>
    <row r="4" spans="2:9" ht="15.75" thickBot="1" x14ac:dyDescent="0.3">
      <c r="B4" s="48" t="s">
        <v>15</v>
      </c>
      <c r="C4" s="17" t="s">
        <v>16</v>
      </c>
      <c r="D4" s="52" t="s">
        <v>36</v>
      </c>
      <c r="E4" s="52" t="s">
        <v>37</v>
      </c>
      <c r="F4" s="52" t="s">
        <v>38</v>
      </c>
      <c r="G4" s="52" t="s">
        <v>39</v>
      </c>
      <c r="H4" s="52" t="s">
        <v>40</v>
      </c>
      <c r="I4" s="53" t="s">
        <v>41</v>
      </c>
    </row>
    <row r="5" spans="2:9" x14ac:dyDescent="0.25">
      <c r="B5" s="50" t="s">
        <v>22</v>
      </c>
      <c r="C5" s="8" t="s">
        <v>42</v>
      </c>
      <c r="D5" s="33">
        <v>4</v>
      </c>
      <c r="E5" s="34">
        <v>4</v>
      </c>
      <c r="F5" s="34">
        <v>4</v>
      </c>
      <c r="G5" s="54">
        <v>4</v>
      </c>
      <c r="H5" s="21">
        <f>AVERAGE(D5:G5)</f>
        <v>4</v>
      </c>
      <c r="I5" s="22" t="str">
        <f>IF(H5&lt;=1.5,"přijat","nepřijat")</f>
        <v>nepřijat</v>
      </c>
    </row>
    <row r="6" spans="2:9" x14ac:dyDescent="0.25">
      <c r="B6" s="23" t="s">
        <v>43</v>
      </c>
      <c r="C6" s="9" t="s">
        <v>44</v>
      </c>
      <c r="D6" s="36">
        <v>5</v>
      </c>
      <c r="E6" s="37">
        <v>1</v>
      </c>
      <c r="F6" s="37">
        <v>3</v>
      </c>
      <c r="G6" s="55">
        <v>2</v>
      </c>
      <c r="H6" s="50">
        <f t="shared" ref="H6:H9" si="0">AVERAGE(D6:G6)</f>
        <v>2.75</v>
      </c>
      <c r="I6" s="8" t="str">
        <f t="shared" ref="I6:I9" si="1">IF(H6&lt;=1.5,"přijat","nepřijat")</f>
        <v>nepřijat</v>
      </c>
    </row>
    <row r="7" spans="2:9" x14ac:dyDescent="0.25">
      <c r="B7" s="23" t="s">
        <v>45</v>
      </c>
      <c r="C7" s="9" t="s">
        <v>46</v>
      </c>
      <c r="D7" s="36">
        <v>1</v>
      </c>
      <c r="E7" s="37">
        <v>1</v>
      </c>
      <c r="F7" s="37">
        <v>1</v>
      </c>
      <c r="G7" s="55">
        <v>1</v>
      </c>
      <c r="H7" s="50">
        <f t="shared" si="0"/>
        <v>1</v>
      </c>
      <c r="I7" s="8" t="str">
        <f t="shared" si="1"/>
        <v>přijat</v>
      </c>
    </row>
    <row r="8" spans="2:9" x14ac:dyDescent="0.25">
      <c r="B8" s="23" t="s">
        <v>47</v>
      </c>
      <c r="C8" s="9" t="s">
        <v>48</v>
      </c>
      <c r="D8" s="36">
        <v>3</v>
      </c>
      <c r="E8" s="37">
        <v>2</v>
      </c>
      <c r="F8" s="37">
        <v>2</v>
      </c>
      <c r="G8" s="55">
        <v>1</v>
      </c>
      <c r="H8" s="50">
        <f t="shared" si="0"/>
        <v>2</v>
      </c>
      <c r="I8" s="8" t="str">
        <f t="shared" si="1"/>
        <v>nepřijat</v>
      </c>
    </row>
    <row r="9" spans="2:9" ht="15.75" thickBot="1" x14ac:dyDescent="0.3">
      <c r="B9" s="24" t="s">
        <v>22</v>
      </c>
      <c r="C9" s="12" t="s">
        <v>49</v>
      </c>
      <c r="D9" s="49">
        <v>5</v>
      </c>
      <c r="E9" s="47">
        <v>5</v>
      </c>
      <c r="F9" s="47">
        <v>5</v>
      </c>
      <c r="G9" s="56">
        <v>5</v>
      </c>
      <c r="H9" s="57">
        <f t="shared" si="0"/>
        <v>5</v>
      </c>
      <c r="I9" s="58" t="str">
        <f t="shared" si="1"/>
        <v>nepřijat</v>
      </c>
    </row>
    <row r="10" spans="2:9" ht="15.75" thickBot="1" x14ac:dyDescent="0.3">
      <c r="C10" s="14" t="s">
        <v>40</v>
      </c>
      <c r="D10" s="25">
        <f>AVERAGE(D5:D9)</f>
        <v>3.6</v>
      </c>
      <c r="E10" s="31">
        <f t="shared" ref="E10:G10" si="2">AVERAGE(E5:E9)</f>
        <v>2.6</v>
      </c>
      <c r="F10" s="31">
        <f t="shared" si="2"/>
        <v>3</v>
      </c>
      <c r="G10" s="46">
        <f t="shared" si="2"/>
        <v>2.6</v>
      </c>
      <c r="H10" s="51"/>
      <c r="I10" s="51"/>
    </row>
    <row r="11" spans="2:9" ht="15.75" thickBot="1" x14ac:dyDescent="0.3"/>
    <row r="12" spans="2:9" ht="15.75" thickBot="1" x14ac:dyDescent="0.3">
      <c r="B12" s="93" t="s">
        <v>50</v>
      </c>
      <c r="C12" s="94"/>
      <c r="D12" s="26">
        <f>AVERAGE(H5:H9)</f>
        <v>2.95</v>
      </c>
    </row>
    <row r="15" spans="2:9" x14ac:dyDescent="0.25">
      <c r="I15" s="59"/>
    </row>
  </sheetData>
  <mergeCells count="2">
    <mergeCell ref="B12:C12"/>
    <mergeCell ref="B2:E2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6E61-68FE-4C56-90A9-9D3E3A8DDE88}">
  <dimension ref="B2:H11"/>
  <sheetViews>
    <sheetView tabSelected="1" workbookViewId="0">
      <selection activeCell="H24" sqref="H24"/>
    </sheetView>
  </sheetViews>
  <sheetFormatPr defaultRowHeight="15" x14ac:dyDescent="0.25"/>
  <cols>
    <col min="1" max="1" width="1.7109375" customWidth="1"/>
    <col min="2" max="2" width="14.7109375" customWidth="1"/>
    <col min="3" max="3" width="9.5703125" bestFit="1" customWidth="1"/>
    <col min="4" max="4" width="10.140625" customWidth="1"/>
    <col min="5" max="5" width="9.42578125" bestFit="1" customWidth="1"/>
    <col min="6" max="6" width="10.28515625" customWidth="1"/>
    <col min="7" max="7" width="10.42578125" bestFit="1" customWidth="1"/>
  </cols>
  <sheetData>
    <row r="2" spans="2:8" ht="21" x14ac:dyDescent="0.35">
      <c r="B2" s="96" t="s">
        <v>51</v>
      </c>
      <c r="C2" s="96"/>
      <c r="D2" s="96"/>
      <c r="E2" s="96"/>
      <c r="F2" s="96"/>
    </row>
    <row r="3" spans="2:8" ht="15.75" thickBot="1" x14ac:dyDescent="0.3"/>
    <row r="4" spans="2:8" ht="15.75" thickBot="1" x14ac:dyDescent="0.3">
      <c r="B4" s="27" t="s">
        <v>52</v>
      </c>
      <c r="C4" s="28" t="s">
        <v>53</v>
      </c>
      <c r="D4" s="29" t="s">
        <v>54</v>
      </c>
      <c r="E4" s="29" t="s">
        <v>55</v>
      </c>
      <c r="F4" s="30" t="s">
        <v>56</v>
      </c>
      <c r="G4" s="65" t="s">
        <v>21</v>
      </c>
      <c r="H4" s="46" t="s">
        <v>57</v>
      </c>
    </row>
    <row r="5" spans="2:8" x14ac:dyDescent="0.25">
      <c r="B5" s="77" t="s">
        <v>58</v>
      </c>
      <c r="C5" s="73">
        <v>35</v>
      </c>
      <c r="D5" s="73">
        <v>90</v>
      </c>
      <c r="E5" s="73">
        <v>34</v>
      </c>
      <c r="F5" s="73">
        <v>115</v>
      </c>
      <c r="G5" s="68">
        <f>SUM(C5:F5)</f>
        <v>274</v>
      </c>
      <c r="H5" s="63" t="str">
        <f>IF(G5&gt;=300,"drahý","levný")</f>
        <v>levný</v>
      </c>
    </row>
    <row r="6" spans="2:8" x14ac:dyDescent="0.25">
      <c r="B6" s="66" t="s">
        <v>59</v>
      </c>
      <c r="C6" s="73">
        <v>25</v>
      </c>
      <c r="D6" s="73">
        <v>115</v>
      </c>
      <c r="E6" s="73">
        <v>27</v>
      </c>
      <c r="F6" s="73">
        <v>120</v>
      </c>
      <c r="G6" s="69">
        <f t="shared" ref="G6:G10" si="0">SUM(C6:F6)</f>
        <v>287</v>
      </c>
      <c r="H6" s="32" t="str">
        <f t="shared" ref="H6:H10" si="1">IF(G6&gt;=300,"drahý","levný")</f>
        <v>levný</v>
      </c>
    </row>
    <row r="7" spans="2:8" x14ac:dyDescent="0.25">
      <c r="B7" s="66" t="s">
        <v>60</v>
      </c>
      <c r="C7" s="73">
        <v>40</v>
      </c>
      <c r="D7" s="73">
        <v>140</v>
      </c>
      <c r="E7" s="73">
        <v>31</v>
      </c>
      <c r="F7" s="73">
        <v>99</v>
      </c>
      <c r="G7" s="69">
        <f t="shared" si="0"/>
        <v>310</v>
      </c>
      <c r="H7" s="32" t="str">
        <f t="shared" si="1"/>
        <v>drahý</v>
      </c>
    </row>
    <row r="8" spans="2:8" x14ac:dyDescent="0.25">
      <c r="B8" s="66" t="s">
        <v>61</v>
      </c>
      <c r="C8" s="73">
        <v>36</v>
      </c>
      <c r="D8" s="73">
        <v>99</v>
      </c>
      <c r="E8" s="73">
        <v>29</v>
      </c>
      <c r="F8" s="73">
        <v>129</v>
      </c>
      <c r="G8" s="69">
        <f t="shared" si="0"/>
        <v>293</v>
      </c>
      <c r="H8" s="32" t="str">
        <f t="shared" si="1"/>
        <v>levný</v>
      </c>
    </row>
    <row r="9" spans="2:8" x14ac:dyDescent="0.25">
      <c r="B9" s="66" t="s">
        <v>62</v>
      </c>
      <c r="C9" s="73">
        <v>37</v>
      </c>
      <c r="D9" s="73">
        <v>135</v>
      </c>
      <c r="E9" s="73">
        <v>35</v>
      </c>
      <c r="F9" s="73">
        <v>145</v>
      </c>
      <c r="G9" s="69">
        <f t="shared" si="0"/>
        <v>352</v>
      </c>
      <c r="H9" s="32" t="str">
        <f t="shared" si="1"/>
        <v>drahý</v>
      </c>
    </row>
    <row r="10" spans="2:8" ht="15.75" thickBot="1" x14ac:dyDescent="0.3">
      <c r="B10" s="67" t="s">
        <v>63</v>
      </c>
      <c r="C10" s="73">
        <v>41.5</v>
      </c>
      <c r="D10" s="73">
        <v>125</v>
      </c>
      <c r="E10" s="73">
        <v>36</v>
      </c>
      <c r="F10" s="73">
        <v>120</v>
      </c>
      <c r="G10" s="74">
        <f t="shared" si="0"/>
        <v>322.5</v>
      </c>
      <c r="H10" s="64" t="str">
        <f t="shared" si="1"/>
        <v>drahý</v>
      </c>
    </row>
    <row r="11" spans="2:8" ht="15.75" thickBot="1" x14ac:dyDescent="0.3">
      <c r="B11" s="67" t="s">
        <v>40</v>
      </c>
      <c r="C11" s="70">
        <f>AVERAGE(C5:C10)</f>
        <v>35.75</v>
      </c>
      <c r="D11" s="71">
        <f t="shared" ref="D11:F11" si="2">AVERAGE(D5:D10)</f>
        <v>117.33333333333333</v>
      </c>
      <c r="E11" s="71">
        <f t="shared" si="2"/>
        <v>32</v>
      </c>
      <c r="F11" s="72">
        <f t="shared" si="2"/>
        <v>121.33333333333333</v>
      </c>
      <c r="G11" s="75"/>
      <c r="H11" s="76"/>
    </row>
  </sheetData>
  <mergeCells count="1">
    <mergeCell ref="B2:F2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6EF2-34F9-49C0-A167-2BC32855C1A3}">
  <dimension ref="B1:M11"/>
  <sheetViews>
    <sheetView topLeftCell="A9" zoomScaleNormal="100" workbookViewId="0">
      <selection activeCell="U25" sqref="U25"/>
    </sheetView>
  </sheetViews>
  <sheetFormatPr defaultRowHeight="15" x14ac:dyDescent="0.25"/>
  <cols>
    <col min="1" max="1" width="1.7109375" customWidth="1"/>
    <col min="3" max="3" width="24.28515625" bestFit="1" customWidth="1"/>
    <col min="13" max="13" width="14" bestFit="1" customWidth="1"/>
  </cols>
  <sheetData>
    <row r="1" spans="2:13" ht="5.25" customHeight="1" x14ac:dyDescent="0.25"/>
    <row r="2" spans="2:13" ht="21" x14ac:dyDescent="0.35">
      <c r="B2" s="124" t="s">
        <v>86</v>
      </c>
    </row>
    <row r="3" spans="2:13" ht="15.75" thickBot="1" x14ac:dyDescent="0.3"/>
    <row r="4" spans="2:13" ht="73.5" thickBot="1" x14ac:dyDescent="0.3">
      <c r="B4" s="120" t="s">
        <v>85</v>
      </c>
      <c r="C4" s="120" t="s">
        <v>84</v>
      </c>
      <c r="D4" s="123" t="s">
        <v>83</v>
      </c>
      <c r="E4" s="122" t="s">
        <v>82</v>
      </c>
      <c r="F4" s="122" t="s">
        <v>81</v>
      </c>
      <c r="G4" s="122" t="s">
        <v>80</v>
      </c>
      <c r="H4" s="122" t="s">
        <v>79</v>
      </c>
      <c r="I4" s="122" t="s">
        <v>78</v>
      </c>
      <c r="J4" s="121" t="s">
        <v>77</v>
      </c>
      <c r="K4" s="120" t="s">
        <v>76</v>
      </c>
      <c r="L4" s="120" t="s">
        <v>75</v>
      </c>
      <c r="M4" s="119" t="s">
        <v>74</v>
      </c>
    </row>
    <row r="5" spans="2:13" x14ac:dyDescent="0.25">
      <c r="B5" s="118" t="s">
        <v>73</v>
      </c>
      <c r="C5" s="118" t="s">
        <v>72</v>
      </c>
      <c r="D5" s="21">
        <v>230</v>
      </c>
      <c r="E5" s="78">
        <v>124</v>
      </c>
      <c r="F5" s="78">
        <v>0</v>
      </c>
      <c r="G5" s="78">
        <v>456</v>
      </c>
      <c r="H5" s="78">
        <v>95</v>
      </c>
      <c r="I5" s="78">
        <v>489</v>
      </c>
      <c r="J5" s="117">
        <v>46</v>
      </c>
      <c r="K5" s="116">
        <v>585</v>
      </c>
      <c r="L5" s="115">
        <f>SUM(D5:K5)</f>
        <v>2025</v>
      </c>
      <c r="M5" s="114">
        <f>K5*L5</f>
        <v>1184625</v>
      </c>
    </row>
    <row r="6" spans="2:13" x14ac:dyDescent="0.25">
      <c r="B6" s="112" t="s">
        <v>71</v>
      </c>
      <c r="C6" s="112" t="s">
        <v>70</v>
      </c>
      <c r="D6" s="23">
        <v>1</v>
      </c>
      <c r="E6" s="3">
        <v>2</v>
      </c>
      <c r="F6" s="3">
        <v>55</v>
      </c>
      <c r="G6" s="3">
        <v>132</v>
      </c>
      <c r="H6" s="3">
        <v>45</v>
      </c>
      <c r="I6" s="3">
        <v>456</v>
      </c>
      <c r="J6" s="111">
        <v>99</v>
      </c>
      <c r="K6" s="109">
        <v>1</v>
      </c>
      <c r="L6" s="110">
        <f>SUM(D6:K6)</f>
        <v>791</v>
      </c>
      <c r="M6" s="113">
        <f>K6*L6</f>
        <v>791</v>
      </c>
    </row>
    <row r="7" spans="2:13" x14ac:dyDescent="0.25">
      <c r="B7" s="112" t="s">
        <v>69</v>
      </c>
      <c r="C7" s="112" t="s">
        <v>68</v>
      </c>
      <c r="D7" s="23">
        <v>444</v>
      </c>
      <c r="E7" s="3">
        <v>454</v>
      </c>
      <c r="F7" s="3">
        <v>457</v>
      </c>
      <c r="G7" s="3">
        <v>415</v>
      </c>
      <c r="H7" s="3">
        <v>568</v>
      </c>
      <c r="I7" s="3">
        <v>1</v>
      </c>
      <c r="J7" s="111">
        <v>15</v>
      </c>
      <c r="K7" s="109">
        <v>133</v>
      </c>
      <c r="L7" s="110">
        <f>SUM(D7:K7)</f>
        <v>2487</v>
      </c>
      <c r="M7" s="109">
        <f>K7*L7</f>
        <v>330771</v>
      </c>
    </row>
    <row r="8" spans="2:13" ht="15.75" thickBot="1" x14ac:dyDescent="0.3">
      <c r="B8" s="108" t="s">
        <v>67</v>
      </c>
      <c r="C8" s="108" t="s">
        <v>66</v>
      </c>
      <c r="D8" s="24">
        <v>445</v>
      </c>
      <c r="E8" s="11">
        <v>0</v>
      </c>
      <c r="F8" s="11">
        <v>123</v>
      </c>
      <c r="G8" s="11">
        <v>321</v>
      </c>
      <c r="H8" s="11">
        <v>135</v>
      </c>
      <c r="I8" s="11">
        <v>0</v>
      </c>
      <c r="J8" s="107">
        <v>1</v>
      </c>
      <c r="K8" s="106">
        <v>48</v>
      </c>
      <c r="L8" s="105">
        <f>SUM(D8:K8)</f>
        <v>1073</v>
      </c>
      <c r="M8" s="104">
        <f>K8*L8</f>
        <v>51504</v>
      </c>
    </row>
    <row r="9" spans="2:13" ht="15.75" thickBot="1" x14ac:dyDescent="0.3"/>
    <row r="10" spans="2:13" ht="15.75" thickBot="1" x14ac:dyDescent="0.3">
      <c r="B10" s="103" t="s">
        <v>65</v>
      </c>
      <c r="C10" s="102"/>
      <c r="D10" s="51">
        <f>SUM(D5:D8)</f>
        <v>1120</v>
      </c>
      <c r="E10" s="51">
        <f>SUM(E5:E8)</f>
        <v>580</v>
      </c>
      <c r="F10" s="51">
        <f>SUM(F5:F8)</f>
        <v>635</v>
      </c>
      <c r="G10" s="51">
        <f>SUM(G5:G8)</f>
        <v>1324</v>
      </c>
      <c r="H10" s="51">
        <f>SUM(H5:H8)</f>
        <v>843</v>
      </c>
      <c r="I10" s="51">
        <f>SUM(I5:I8)</f>
        <v>946</v>
      </c>
      <c r="J10" s="63">
        <f>SUM(J5:J8)</f>
        <v>161</v>
      </c>
      <c r="L10" s="101" t="s">
        <v>21</v>
      </c>
      <c r="M10" s="100">
        <f>SUM(M5:M8)</f>
        <v>1567691</v>
      </c>
    </row>
    <row r="11" spans="2:13" ht="15.75" thickBot="1" x14ac:dyDescent="0.3">
      <c r="B11" s="99" t="s">
        <v>64</v>
      </c>
      <c r="C11" s="98"/>
      <c r="D11" s="97">
        <f>AVERAGE(D5:D8)</f>
        <v>280</v>
      </c>
      <c r="E11" s="97">
        <f>AVERAGE(E5:E8)</f>
        <v>145</v>
      </c>
      <c r="F11" s="97">
        <f>AVERAGE(F5:F8)</f>
        <v>158.75</v>
      </c>
      <c r="G11" s="97">
        <f>AVERAGE(G5:G8)</f>
        <v>331</v>
      </c>
      <c r="H11" s="97">
        <f>AVERAGE(H5:H8)</f>
        <v>210.75</v>
      </c>
      <c r="I11" s="97">
        <f>AVERAGE(I5:I8)</f>
        <v>236.5</v>
      </c>
      <c r="J11" s="64">
        <f>AVERAGE(J5:J8)</f>
        <v>40.25</v>
      </c>
    </row>
  </sheetData>
  <mergeCells count="2">
    <mergeCell ref="B10:C10"/>
    <mergeCell ref="B11:C11"/>
  </mergeCells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0" ma:contentTypeDescription="Vytvoří nový dokument" ma:contentTypeScope="" ma:versionID="0d389cd03cc9c4e0ae7cf8989db42fb1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538d88fe6ea701f53b1c5f8f4b528f4a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04A494-B1C4-4C5C-8235-4CAD5C0A7888}">
  <ds:schemaRefs>
    <ds:schemaRef ds:uri="http://schemas.microsoft.com/office/2006/documentManagement/types"/>
    <ds:schemaRef ds:uri="5f220dc0-27a6-4f79-8ef7-91d1414d0c8a"/>
    <ds:schemaRef ds:uri="http://purl.org/dc/dcmitype/"/>
    <ds:schemaRef ds:uri="http://schemas.microsoft.com/office/2006/metadata/properties"/>
    <ds:schemaRef ds:uri="8716bbdc-2b9e-4b6c-9f5d-91220b825f80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68680D4-E8D0-4BED-B5F0-C1415914AA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A4C847-9E5F-4422-8E40-201D331A84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monitory</vt:lpstr>
      <vt:lpstr>taneční soutěž</vt:lpstr>
      <vt:lpstr>příjmací řízení na SŠ</vt:lpstr>
      <vt:lpstr>přehled cen</vt:lpstr>
      <vt:lpstr>analýza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ŠTÍPA</dc:creator>
  <cp:keywords/>
  <dc:description/>
  <cp:lastModifiedBy>Alex ŠTÍPA</cp:lastModifiedBy>
  <cp:revision/>
  <dcterms:created xsi:type="dcterms:W3CDTF">2022-12-13T07:25:51Z</dcterms:created>
  <dcterms:modified xsi:type="dcterms:W3CDTF">2023-01-04T09:06:53Z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