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informatika-my.sharepoint.com/personal/alex_stipa_teleinformatika_eu/Documents/"/>
    </mc:Choice>
  </mc:AlternateContent>
  <xr:revisionPtr revIDLastSave="3" documentId="8_{EDC702A5-EE05-4112-B4BB-7A16FB55D118}" xr6:coauthVersionLast="47" xr6:coauthVersionMax="47" xr10:uidLastSave="{169A1C0F-6E45-4809-9685-0088C4EAC52F}"/>
  <bookViews>
    <workbookView xWindow="-120" yWindow="-120" windowWidth="29040" windowHeight="15840" xr2:uid="{DFBD71E7-C748-4371-A9CC-305AC40D4A6A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7" i="1"/>
  <c r="I6" i="1"/>
  <c r="H12" i="1"/>
  <c r="H7" i="1"/>
  <c r="H8" i="1"/>
  <c r="H9" i="1"/>
  <c r="H10" i="1"/>
  <c r="H11" i="1"/>
  <c r="H6" i="1"/>
  <c r="E12" i="1"/>
  <c r="F12" i="1"/>
  <c r="G12" i="1"/>
  <c r="D12" i="1"/>
</calcChain>
</file>

<file path=xl/sharedStrings.xml><?xml version="1.0" encoding="utf-8"?>
<sst xmlns="http://schemas.openxmlformats.org/spreadsheetml/2006/main" count="16" uniqueCount="16">
  <si>
    <t>Počet uskutečněných zájezdů</t>
  </si>
  <si>
    <t>cena</t>
  </si>
  <si>
    <t>1. čtvrtletí</t>
  </si>
  <si>
    <t>2. čtvrtletí</t>
  </si>
  <si>
    <t>3. čtvrtletí</t>
  </si>
  <si>
    <t>4. čtvrtletí</t>
  </si>
  <si>
    <t>Afrika</t>
  </si>
  <si>
    <t>Amerika</t>
  </si>
  <si>
    <t>Antarktida</t>
  </si>
  <si>
    <t>Asie</t>
  </si>
  <si>
    <t>Austrálie</t>
  </si>
  <si>
    <t>Evropa</t>
  </si>
  <si>
    <t>Celkem</t>
  </si>
  <si>
    <t>Obrat</t>
  </si>
  <si>
    <t>podíl světadílů na celkovém obratu</t>
  </si>
  <si>
    <r>
      <t xml:space="preserve">Cestovní kancelář </t>
    </r>
    <r>
      <rPr>
        <b/>
        <i/>
        <sz val="20"/>
        <color theme="1"/>
        <rFont val="Calibri"/>
        <family val="2"/>
        <charset val="238"/>
        <scheme val="minor"/>
      </rPr>
      <t>GLOBUS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</si>
</sst>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\ [$Kč-405]_-;\-* #,##0\ [$Kč-405]_-;_-* &quot;-&quot;??\ [$Kč-405]_-;_-@_-"/>
  </numFmts>
  <fonts count="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i/>
      <sz val="2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/>
      <bottom style="thin">
        <color auto="1"/>
      </bottom>
      <diagonal/>
    </border>
    <border>
      <left style="thin">
        <color auto="1"/>
      </left>
      <right style="double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ck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ck">
        <color indexed="64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double">
        <color indexed="64"/>
      </left>
      <right style="thick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6" fillId="0" borderId="0" xfId="0" applyFont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6" fontId="0" fillId="0" borderId="6" xfId="0" applyNumberFormat="1" applyBorder="1"/>
    <xf numFmtId="166" fontId="0" fillId="0" borderId="7" xfId="0" applyNumberFormat="1" applyBorder="1"/>
    <xf numFmtId="0" fontId="0" fillId="0" borderId="8" xfId="0" applyBorder="1"/>
    <xf numFmtId="166" fontId="0" fillId="0" borderId="8" xfId="0" applyNumberFormat="1" applyBorder="1"/>
    <xf numFmtId="0" fontId="3" fillId="0" borderId="9" xfId="0" applyFont="1" applyBorder="1" applyAlignment="1">
      <alignment horizontal="center" vertical="center" textRotation="90"/>
    </xf>
    <xf numFmtId="9" fontId="0" fillId="0" borderId="11" xfId="1" applyFont="1" applyBorder="1"/>
    <xf numFmtId="9" fontId="0" fillId="0" borderId="10" xfId="1" applyFont="1" applyBorder="1"/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/>
    </xf>
    <xf numFmtId="0" fontId="5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0" fillId="2" borderId="21" xfId="0" applyFill="1" applyBorder="1"/>
    <xf numFmtId="0" fontId="2" fillId="0" borderId="22" xfId="0" applyFont="1" applyBorder="1"/>
    <xf numFmtId="166" fontId="2" fillId="0" borderId="22" xfId="0" applyNumberFormat="1" applyFont="1" applyBorder="1"/>
    <xf numFmtId="0" fontId="0" fillId="2" borderId="23" xfId="0" applyFill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obraty</a:t>
            </a:r>
            <a:r>
              <a:rPr lang="cs-CZ" baseline="0"/>
              <a:t> světadílů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obraty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List1!$B$6:$B$11</c:f>
              <c:strCache>
                <c:ptCount val="6"/>
                <c:pt idx="0">
                  <c:v>Afrika</c:v>
                </c:pt>
                <c:pt idx="1">
                  <c:v>Amerika</c:v>
                </c:pt>
                <c:pt idx="2">
                  <c:v>Antarktida</c:v>
                </c:pt>
                <c:pt idx="3">
                  <c:v>Asie</c:v>
                </c:pt>
                <c:pt idx="4">
                  <c:v>Austrálie</c:v>
                </c:pt>
                <c:pt idx="5">
                  <c:v>Evropa</c:v>
                </c:pt>
              </c:strCache>
            </c:strRef>
          </c:cat>
          <c:val>
            <c:numRef>
              <c:f>List1!$H$6:$H$11</c:f>
              <c:numCache>
                <c:formatCode>_-* #\ ##0\ [$Kč-405]_-;\-* #\ ##0\ [$Kč-405]_-;_-* "-"??\ [$Kč-405]_-;_-@_-</c:formatCode>
                <c:ptCount val="6"/>
                <c:pt idx="0">
                  <c:v>4188030</c:v>
                </c:pt>
                <c:pt idx="1">
                  <c:v>17679000</c:v>
                </c:pt>
                <c:pt idx="2">
                  <c:v>1666000</c:v>
                </c:pt>
                <c:pt idx="3">
                  <c:v>12678050</c:v>
                </c:pt>
                <c:pt idx="4">
                  <c:v>2247500</c:v>
                </c:pt>
                <c:pt idx="5">
                  <c:v>7556720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8-4FFB-AB94-8BFA2724BD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8110928"/>
        <c:axId val="988015264"/>
      </c:barChart>
      <c:catAx>
        <c:axId val="115811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88015264"/>
        <c:crosses val="autoZero"/>
        <c:auto val="1"/>
        <c:lblAlgn val="ctr"/>
        <c:lblOffset val="100"/>
        <c:noMultiLvlLbl val="0"/>
      </c:catAx>
      <c:valAx>
        <c:axId val="98801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[$Kč-405]_-;\-* #\ ##0\ [$Kč-405]_-;_-* &quot;-&quot;??\ [$Kč-40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5811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podíl</a:t>
            </a:r>
            <a:r>
              <a:rPr lang="cs-CZ" baseline="0"/>
              <a:t> světadílů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C2-4165-800F-49B4C82093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2"/>
              <c:layout>
                <c:manualLayout>
                  <c:x val="-4.3953412073490811E-3"/>
                  <c:y val="-9.079286964129475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C2-4165-800F-49B4C82093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List1!$B$6:$B$11</c:f>
              <c:strCache>
                <c:ptCount val="6"/>
                <c:pt idx="0">
                  <c:v>Afrika</c:v>
                </c:pt>
                <c:pt idx="1">
                  <c:v>Amerika</c:v>
                </c:pt>
                <c:pt idx="2">
                  <c:v>Antarktida</c:v>
                </c:pt>
                <c:pt idx="3">
                  <c:v>Asie</c:v>
                </c:pt>
                <c:pt idx="4">
                  <c:v>Austrálie</c:v>
                </c:pt>
                <c:pt idx="5">
                  <c:v>Evropa</c:v>
                </c:pt>
              </c:strCache>
            </c:strRef>
          </c:cat>
          <c:val>
            <c:numRef>
              <c:f>List1!$I$6:$I$11</c:f>
              <c:numCache>
                <c:formatCode>0%</c:formatCode>
                <c:ptCount val="6"/>
                <c:pt idx="0">
                  <c:v>9.1013858434042597E-2</c:v>
                </c:pt>
                <c:pt idx="1">
                  <c:v>0.38419829926133264</c:v>
                </c:pt>
                <c:pt idx="2">
                  <c:v>3.6205349090411232E-2</c:v>
                </c:pt>
                <c:pt idx="3">
                  <c:v>0.2755181428785643</c:v>
                </c:pt>
                <c:pt idx="4">
                  <c:v>4.8842450228510949E-2</c:v>
                </c:pt>
                <c:pt idx="5">
                  <c:v>0.16422190010713827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2-4165-800F-49B4C82093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4</xdr:row>
      <xdr:rowOff>14287</xdr:rowOff>
    </xdr:from>
    <xdr:to>
      <xdr:col>17</xdr:col>
      <xdr:colOff>295275</xdr:colOff>
      <xdr:row>14</xdr:row>
      <xdr:rowOff>128587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27E4B0CD-03E1-7350-A9A1-E356905EE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13</xdr:row>
      <xdr:rowOff>4762</xdr:rowOff>
    </xdr:from>
    <xdr:to>
      <xdr:col>8</xdr:col>
      <xdr:colOff>133350</xdr:colOff>
      <xdr:row>27</xdr:row>
      <xdr:rowOff>80962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8C9D4062-9225-A601-C052-CFBBFCCB4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90A2-13A5-47B4-BAA3-B26900A3A5B6}">
  <dimension ref="A2:I13"/>
  <sheetViews>
    <sheetView tabSelected="1" workbookViewId="0">
      <selection activeCell="I22" sqref="I22"/>
    </sheetView>
  </sheetViews>
  <sheetFormatPr defaultRowHeight="15" x14ac:dyDescent="0.25"/>
  <cols>
    <col min="2" max="2" width="10" customWidth="1"/>
    <col min="3" max="3" width="12.85546875" bestFit="1" customWidth="1"/>
    <col min="8" max="8" width="19" customWidth="1"/>
    <col min="9" max="9" width="17.85546875" customWidth="1"/>
  </cols>
  <sheetData>
    <row r="2" spans="1:9" ht="26.25" x14ac:dyDescent="0.4">
      <c r="B2" s="1" t="s">
        <v>15</v>
      </c>
      <c r="C2" s="1"/>
      <c r="D2" s="1"/>
      <c r="E2" s="1"/>
      <c r="F2" s="1"/>
      <c r="G2" s="1"/>
      <c r="H2" s="1"/>
      <c r="I2" s="1"/>
    </row>
    <row r="3" spans="1:9" ht="15.75" thickBot="1" x14ac:dyDescent="0.3">
      <c r="D3" s="4"/>
      <c r="E3" s="4"/>
      <c r="F3" s="4"/>
    </row>
    <row r="4" spans="1:9" ht="16.5" thickTop="1" thickBot="1" x14ac:dyDescent="0.3">
      <c r="C4" s="6"/>
      <c r="D4" s="26" t="s">
        <v>0</v>
      </c>
      <c r="E4" s="27"/>
      <c r="F4" s="28"/>
      <c r="G4" s="7"/>
      <c r="H4" s="4"/>
      <c r="I4" s="4"/>
    </row>
    <row r="5" spans="1:9" ht="69.75" customHeight="1" thickTop="1" thickBot="1" x14ac:dyDescent="0.3">
      <c r="B5" s="6"/>
      <c r="C5" s="18" t="s">
        <v>1</v>
      </c>
      <c r="D5" s="12" t="s">
        <v>2</v>
      </c>
      <c r="E5" s="12" t="s">
        <v>3</v>
      </c>
      <c r="F5" s="12" t="s">
        <v>4</v>
      </c>
      <c r="G5" s="16" t="s">
        <v>5</v>
      </c>
      <c r="H5" s="17" t="s">
        <v>13</v>
      </c>
      <c r="I5" s="15" t="s">
        <v>14</v>
      </c>
    </row>
    <row r="6" spans="1:9" ht="15.75" thickTop="1" x14ac:dyDescent="0.25">
      <c r="A6" s="5"/>
      <c r="B6" s="20" t="s">
        <v>6</v>
      </c>
      <c r="C6" s="9">
        <v>28490</v>
      </c>
      <c r="D6" s="10">
        <v>52</v>
      </c>
      <c r="E6" s="10">
        <v>38</v>
      </c>
      <c r="F6" s="10">
        <v>45</v>
      </c>
      <c r="G6" s="10">
        <v>12</v>
      </c>
      <c r="H6" s="11">
        <f>C6*(D6+E6+F6+G6)</f>
        <v>4188030</v>
      </c>
      <c r="I6" s="13">
        <f>H6/H12</f>
        <v>9.1013858434042597E-2</v>
      </c>
    </row>
    <row r="7" spans="1:9" x14ac:dyDescent="0.25">
      <c r="A7" s="5"/>
      <c r="B7" s="19" t="s">
        <v>7</v>
      </c>
      <c r="C7" s="8">
        <v>42600</v>
      </c>
      <c r="D7" s="2">
        <v>110</v>
      </c>
      <c r="E7" s="2">
        <v>84</v>
      </c>
      <c r="F7" s="2">
        <v>126</v>
      </c>
      <c r="G7" s="2">
        <v>95</v>
      </c>
      <c r="H7" s="3">
        <f t="shared" ref="H7:H12" si="0">C7*(D7+E7+F7+G7)</f>
        <v>17679000</v>
      </c>
      <c r="I7" s="14">
        <f>H7/H12</f>
        <v>0.38419829926133264</v>
      </c>
    </row>
    <row r="8" spans="1:9" x14ac:dyDescent="0.25">
      <c r="A8" s="5"/>
      <c r="B8" s="19" t="s">
        <v>8</v>
      </c>
      <c r="C8" s="8">
        <v>98000</v>
      </c>
      <c r="D8" s="2">
        <v>3</v>
      </c>
      <c r="E8" s="2">
        <v>5</v>
      </c>
      <c r="F8" s="2">
        <v>1</v>
      </c>
      <c r="G8" s="2">
        <v>8</v>
      </c>
      <c r="H8" s="3">
        <f t="shared" si="0"/>
        <v>1666000</v>
      </c>
      <c r="I8" s="14">
        <f>H8/H12</f>
        <v>3.6205349090411232E-2</v>
      </c>
    </row>
    <row r="9" spans="1:9" x14ac:dyDescent="0.25">
      <c r="A9" s="5"/>
      <c r="B9" s="19" t="s">
        <v>9</v>
      </c>
      <c r="C9" s="8">
        <v>48950</v>
      </c>
      <c r="D9" s="2">
        <v>85</v>
      </c>
      <c r="E9" s="2">
        <v>62</v>
      </c>
      <c r="F9" s="2">
        <v>60</v>
      </c>
      <c r="G9" s="2">
        <v>52</v>
      </c>
      <c r="H9" s="3">
        <f t="shared" si="0"/>
        <v>12678050</v>
      </c>
      <c r="I9" s="14">
        <f>H9/H12</f>
        <v>0.2755181428785643</v>
      </c>
    </row>
    <row r="10" spans="1:9" x14ac:dyDescent="0.25">
      <c r="A10" s="5"/>
      <c r="B10" s="19" t="s">
        <v>10</v>
      </c>
      <c r="C10" s="8">
        <v>72500</v>
      </c>
      <c r="D10" s="2">
        <v>5</v>
      </c>
      <c r="E10" s="2">
        <v>12</v>
      </c>
      <c r="F10" s="2">
        <v>6</v>
      </c>
      <c r="G10" s="2">
        <v>8</v>
      </c>
      <c r="H10" s="3">
        <f t="shared" si="0"/>
        <v>2247500</v>
      </c>
      <c r="I10" s="14">
        <f>H10/H12</f>
        <v>4.8842450228510949E-2</v>
      </c>
    </row>
    <row r="11" spans="1:9" x14ac:dyDescent="0.25">
      <c r="A11" s="5"/>
      <c r="B11" s="19" t="s">
        <v>11</v>
      </c>
      <c r="C11" s="8">
        <v>2360</v>
      </c>
      <c r="D11" s="2">
        <v>835</v>
      </c>
      <c r="E11" s="2">
        <v>652</v>
      </c>
      <c r="F11" s="2">
        <v>784</v>
      </c>
      <c r="G11" s="2">
        <v>931</v>
      </c>
      <c r="H11" s="3">
        <f t="shared" si="0"/>
        <v>7556720</v>
      </c>
      <c r="I11" s="14">
        <f>H11/H12</f>
        <v>0.16422190010713827</v>
      </c>
    </row>
    <row r="12" spans="1:9" ht="15.75" thickBot="1" x14ac:dyDescent="0.3">
      <c r="A12" s="5"/>
      <c r="B12" s="21" t="s">
        <v>12</v>
      </c>
      <c r="C12" s="22"/>
      <c r="D12" s="23">
        <f>SUM(D6:D11)</f>
        <v>1090</v>
      </c>
      <c r="E12" s="23">
        <f t="shared" ref="E12:G12" si="1">SUM(E6:E11)</f>
        <v>853</v>
      </c>
      <c r="F12" s="23">
        <f t="shared" si="1"/>
        <v>1022</v>
      </c>
      <c r="G12" s="23">
        <f t="shared" si="1"/>
        <v>1106</v>
      </c>
      <c r="H12" s="24">
        <f>SUM(H6:H11)</f>
        <v>46015300</v>
      </c>
      <c r="I12" s="25"/>
    </row>
    <row r="13" spans="1:9" ht="15.75" thickTop="1" x14ac:dyDescent="0.25"/>
  </sheetData>
  <mergeCells count="2">
    <mergeCell ref="B2:I2"/>
    <mergeCell ref="D4:F4"/>
  </mergeCells>
  <phoneticPr fontId="7" type="noConversion"/>
  <pageMargins left="0.7" right="0.7" top="0.78740157499999996" bottom="0.78740157499999996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83AD5C51-E5B2-41B8-8D22-7C2A58B75A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372CDD-BFE1-42F4-9580-B526B1C529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4A8C7F-9BBC-4A0E-8A23-20A9F0AC9B09}">
  <ds:schemaRefs>
    <ds:schemaRef ds:uri="5f220dc0-27a6-4f79-8ef7-91d1414d0c8a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8716bbdc-2b9e-4b6c-9f5d-91220b825f8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ŠTÍPA</dc:creator>
  <cp:lastModifiedBy>Alex ŠTÍPA</cp:lastModifiedBy>
  <dcterms:created xsi:type="dcterms:W3CDTF">2023-03-28T07:13:17Z</dcterms:created>
  <dcterms:modified xsi:type="dcterms:W3CDTF">2023-03-28T07:38:08Z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