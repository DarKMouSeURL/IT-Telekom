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104" documentId="8_{94ECF4E5-5490-4060-A963-3CCC38F1F0BD}" xr6:coauthVersionLast="47" xr6:coauthVersionMax="47" xr10:uidLastSave="{B3583EC7-0456-4A8A-891E-CA24931B6146}"/>
  <bookViews>
    <workbookView xWindow="1560" yWindow="1560" windowWidth="21600" windowHeight="11385" tabRatio="806" xr2:uid="{00000000-000D-0000-FFFF-FFFF00000000}"/>
  </bookViews>
  <sheets>
    <sheet name="Počasí ve světě" sheetId="1" r:id="rId1"/>
    <sheet name="Přehled cen" sheetId="2" r:id="rId2"/>
    <sheet name="Střechy" sheetId="3" r:id="rId3"/>
  </sheets>
  <definedNames>
    <definedName name="_xlnm._FilterDatabase" localSheetId="0" hidden="1">'Počasí ve světě'!$A$3:$D$83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K12" i="3"/>
  <c r="L12" i="3"/>
  <c r="M12" i="3"/>
  <c r="N12" i="3"/>
  <c r="K13" i="3"/>
  <c r="L13" i="3"/>
  <c r="M13" i="3"/>
  <c r="N13" i="3"/>
  <c r="K14" i="3"/>
  <c r="L14" i="3"/>
  <c r="M14" i="3"/>
  <c r="N14" i="3"/>
  <c r="K15" i="3"/>
  <c r="L15" i="3"/>
  <c r="M15" i="3"/>
  <c r="N15" i="3"/>
  <c r="K16" i="3"/>
  <c r="L16" i="3"/>
  <c r="M16" i="3"/>
  <c r="N16" i="3"/>
  <c r="K17" i="3"/>
  <c r="L17" i="3"/>
  <c r="M17" i="3"/>
  <c r="N17" i="3"/>
  <c r="K18" i="3"/>
  <c r="L18" i="3"/>
  <c r="M18" i="3"/>
  <c r="N18" i="3"/>
  <c r="K19" i="3"/>
  <c r="L19" i="3"/>
  <c r="M19" i="3"/>
  <c r="N19" i="3"/>
  <c r="R18" i="3"/>
  <c r="R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C21" i="3"/>
  <c r="C20" i="3"/>
  <c r="D19" i="3"/>
  <c r="E19" i="3"/>
  <c r="F19" i="3"/>
  <c r="G19" i="3"/>
  <c r="H19" i="3"/>
  <c r="I19" i="3"/>
  <c r="J19" i="3"/>
  <c r="O19" i="3"/>
  <c r="P19" i="3"/>
  <c r="Q19" i="3"/>
  <c r="R19" i="3"/>
  <c r="C19" i="3"/>
  <c r="D18" i="3"/>
  <c r="E18" i="3"/>
  <c r="F18" i="3"/>
  <c r="G18" i="3"/>
  <c r="H18" i="3"/>
  <c r="I18" i="3"/>
  <c r="J18" i="3"/>
  <c r="O18" i="3"/>
  <c r="P18" i="3"/>
  <c r="Q18" i="3"/>
  <c r="C18" i="3"/>
  <c r="R17" i="3"/>
  <c r="D17" i="3"/>
  <c r="E17" i="3"/>
  <c r="F17" i="3"/>
  <c r="G17" i="3"/>
  <c r="H17" i="3"/>
  <c r="I17" i="3"/>
  <c r="J17" i="3"/>
  <c r="O17" i="3"/>
  <c r="P17" i="3"/>
  <c r="Q17" i="3"/>
  <c r="C17" i="3"/>
  <c r="D16" i="3"/>
  <c r="E16" i="3"/>
  <c r="F16" i="3"/>
  <c r="G16" i="3"/>
  <c r="H16" i="3"/>
  <c r="I16" i="3"/>
  <c r="J16" i="3"/>
  <c r="O16" i="3"/>
  <c r="P16" i="3"/>
  <c r="Q16" i="3"/>
  <c r="R16" i="3"/>
  <c r="C16" i="3"/>
  <c r="D15" i="3"/>
  <c r="E15" i="3"/>
  <c r="F15" i="3"/>
  <c r="G15" i="3"/>
  <c r="H15" i="3"/>
  <c r="I15" i="3"/>
  <c r="J15" i="3"/>
  <c r="O15" i="3"/>
  <c r="P15" i="3"/>
  <c r="Q15" i="3"/>
  <c r="R15" i="3"/>
  <c r="C15" i="3"/>
  <c r="D14" i="3"/>
  <c r="E14" i="3"/>
  <c r="F14" i="3"/>
  <c r="G14" i="3"/>
  <c r="H14" i="3"/>
  <c r="I14" i="3"/>
  <c r="J14" i="3"/>
  <c r="O14" i="3"/>
  <c r="P14" i="3"/>
  <c r="Q14" i="3"/>
  <c r="R14" i="3"/>
  <c r="C14" i="3"/>
  <c r="D13" i="3"/>
  <c r="E13" i="3"/>
  <c r="F13" i="3"/>
  <c r="G13" i="3"/>
  <c r="H13" i="3"/>
  <c r="I13" i="3"/>
  <c r="J13" i="3"/>
  <c r="O13" i="3"/>
  <c r="P13" i="3"/>
  <c r="Q13" i="3"/>
  <c r="R13" i="3"/>
  <c r="C13" i="3"/>
  <c r="D12" i="3"/>
  <c r="E12" i="3"/>
  <c r="F12" i="3"/>
  <c r="G12" i="3"/>
  <c r="H12" i="3"/>
  <c r="I12" i="3"/>
  <c r="J12" i="3"/>
  <c r="O12" i="3"/>
  <c r="P12" i="3"/>
  <c r="Q12" i="3"/>
  <c r="R12" i="3"/>
  <c r="C12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C11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C10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C9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C8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C7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C6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C5" i="3"/>
  <c r="B36" i="2"/>
  <c r="B37" i="2"/>
  <c r="B38" i="2"/>
  <c r="B39" i="2"/>
  <c r="B40" i="2"/>
  <c r="B41" i="2"/>
  <c r="B42" i="2"/>
  <c r="B43" i="2"/>
  <c r="B44" i="2"/>
  <c r="B45" i="2"/>
  <c r="B46" i="2"/>
  <c r="C36" i="2"/>
  <c r="C37" i="2"/>
  <c r="C38" i="2"/>
  <c r="C39" i="2"/>
  <c r="C40" i="2"/>
  <c r="C41" i="2"/>
  <c r="C42" i="2"/>
  <c r="C43" i="2"/>
  <c r="C44" i="2"/>
  <c r="C45" i="2"/>
  <c r="C46" i="2"/>
  <c r="B20" i="2"/>
  <c r="B21" i="2"/>
  <c r="B22" i="2"/>
  <c r="B23" i="2"/>
  <c r="B24" i="2"/>
  <c r="B25" i="2"/>
  <c r="B26" i="2"/>
  <c r="B27" i="2"/>
  <c r="B28" i="2"/>
  <c r="B29" i="2"/>
  <c r="B30" i="2"/>
  <c r="D20" i="2"/>
  <c r="D21" i="2"/>
  <c r="D22" i="2"/>
  <c r="D23" i="2"/>
  <c r="D24" i="2"/>
  <c r="D25" i="2"/>
  <c r="D26" i="2"/>
  <c r="D27" i="2"/>
  <c r="D28" i="2"/>
  <c r="D29" i="2"/>
  <c r="D30" i="2"/>
  <c r="D4" i="2"/>
  <c r="D5" i="2"/>
  <c r="D6" i="2"/>
  <c r="D7" i="2"/>
  <c r="D8" i="2"/>
  <c r="D9" i="2"/>
  <c r="D10" i="2"/>
  <c r="D11" i="2"/>
  <c r="D12" i="2"/>
  <c r="D13" i="2"/>
  <c r="D14" i="2"/>
  <c r="C4" i="2"/>
  <c r="C5" i="2"/>
  <c r="C6" i="2"/>
  <c r="C7" i="2"/>
  <c r="C8" i="2"/>
  <c r="C9" i="2"/>
  <c r="C10" i="2"/>
  <c r="C11" i="2"/>
  <c r="C12" i="2"/>
  <c r="C13" i="2"/>
  <c r="C14" i="2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</calcChain>
</file>

<file path=xl/sharedStrings.xml><?xml version="1.0" encoding="utf-8"?>
<sst xmlns="http://schemas.openxmlformats.org/spreadsheetml/2006/main" count="226" uniqueCount="120">
  <si>
    <t>Počasí ve světě</t>
  </si>
  <si>
    <t>Stanice</t>
  </si>
  <si>
    <t>Teplota [°C]</t>
  </si>
  <si>
    <t>Rychlost větru [m/s]</t>
  </si>
  <si>
    <t>Oblačnost</t>
  </si>
  <si>
    <t>Rozdíl teplot oproti Praze</t>
  </si>
  <si>
    <t>Rozdíl rychlosti větru oproti Praze</t>
  </si>
  <si>
    <t>Ajaccio (Francie)</t>
  </si>
  <si>
    <t>Zataženo</t>
  </si>
  <si>
    <t>Almería (Španělsko)</t>
  </si>
  <si>
    <t/>
  </si>
  <si>
    <t>Ankara (Turecko)</t>
  </si>
  <si>
    <t>Málo oblačnosti</t>
  </si>
  <si>
    <t>Amtalya (Turecko)</t>
  </si>
  <si>
    <t>Jasno</t>
  </si>
  <si>
    <t>Archangelsk (Rusko)</t>
  </si>
  <si>
    <t>Arrecife (Kanárské ostrovy)</t>
  </si>
  <si>
    <t>Atény (Řecko)</t>
  </si>
  <si>
    <t>Barcelona (Španělsko)</t>
  </si>
  <si>
    <t>Bělehrad (Srbsko)</t>
  </si>
  <si>
    <t>Belfast (Velká Británie)</t>
  </si>
  <si>
    <t>Benátky (Itálie)</t>
  </si>
  <si>
    <t>Skoro zataženo</t>
  </si>
  <si>
    <t>Berlín (Německo)</t>
  </si>
  <si>
    <t>Oblačno</t>
  </si>
  <si>
    <t>Bonn (Německo)</t>
  </si>
  <si>
    <t>Bordeaux (Francie)</t>
  </si>
  <si>
    <t>Brest</t>
  </si>
  <si>
    <t>Brno (Česká republika)</t>
  </si>
  <si>
    <t>Brusel (Belgie)</t>
  </si>
  <si>
    <t>Bukurešť (Rumunsko)</t>
  </si>
  <si>
    <t>Burgas (Bulharsko)</t>
  </si>
  <si>
    <t>Cagliari (Itálie)</t>
  </si>
  <si>
    <t>Constanta (Rumunsko)</t>
  </si>
  <si>
    <t>Córdoba (Španělsko)</t>
  </si>
  <si>
    <t>Dublin (Irsko)</t>
  </si>
  <si>
    <t>Falconara (Itálie)</t>
  </si>
  <si>
    <t>Frankfurt (Německo)</t>
  </si>
  <si>
    <t>Štýrský Hradec (Rakousko)</t>
  </si>
  <si>
    <t>Greifswald (Německo)</t>
  </si>
  <si>
    <t>Hamburk (Německo)</t>
  </si>
  <si>
    <t>Skoro jasno</t>
  </si>
  <si>
    <t>Helsinki (Finsko)</t>
  </si>
  <si>
    <t>Heraklion (Kréta)</t>
  </si>
  <si>
    <t>Hurguada (Egypt)</t>
  </si>
  <si>
    <t>Innsbruck (Rakousko)</t>
  </si>
  <si>
    <t>Istanbul (Turecko)</t>
  </si>
  <si>
    <t>Kahira (Egypt)</t>
  </si>
  <si>
    <t>Polojasno</t>
  </si>
  <si>
    <t>Kazaň (Rusko)</t>
  </si>
  <si>
    <t>Kodaň (Dánsko)</t>
  </si>
  <si>
    <t>Krakov (Polsko)</t>
  </si>
  <si>
    <t>Kyjev (Ukrajina)</t>
  </si>
  <si>
    <t>Las Palmas (Španělsko)</t>
  </si>
  <si>
    <t>Leba (Polsko)</t>
  </si>
  <si>
    <t>Lisabon (Portugalsko)</t>
  </si>
  <si>
    <t>Londýn (Velká Británie)</t>
  </si>
  <si>
    <t>Mardid (Španělsko)</t>
  </si>
  <si>
    <t>Malorca (Malorca)</t>
  </si>
  <si>
    <t>Marseille (Francie)</t>
  </si>
  <si>
    <t>Messina (Itálie)</t>
  </si>
  <si>
    <t>Miláno (Itálie)</t>
  </si>
  <si>
    <t>Minsk (Bělorusko)</t>
  </si>
  <si>
    <t>Mnichov (Německo)</t>
  </si>
  <si>
    <t>Moskva (Rusko)</t>
  </si>
  <si>
    <t>Murmansk (Rusko)</t>
  </si>
  <si>
    <t>Neapol (Itálie)</t>
  </si>
  <si>
    <t>Nice (Francie)</t>
  </si>
  <si>
    <t>Oslo (Norsko)</t>
  </si>
  <si>
    <t>Ostrava (Česká republika)</t>
  </si>
  <si>
    <t>Palermo (Itálie)</t>
  </si>
  <si>
    <t>Paříž (Francie)</t>
  </si>
  <si>
    <t>Pečora (Rusko)</t>
  </si>
  <si>
    <t>Petrohrad (Rusko)</t>
  </si>
  <si>
    <t>Podgorica (Černá Hora)</t>
  </si>
  <si>
    <t>Praha (Česká republika)</t>
  </si>
  <si>
    <t>Pula (Chorvatsko)</t>
  </si>
  <si>
    <t>Reykjavik (Island)</t>
  </si>
  <si>
    <t>Riga (Lotyšsko)</t>
  </si>
  <si>
    <t>Rijeka (Chorvatsko)</t>
  </si>
  <si>
    <t>Řím (Itálie)</t>
  </si>
  <si>
    <t>Salzburg (Rakousko)</t>
  </si>
  <si>
    <t>Soči (Rusko)</t>
  </si>
  <si>
    <t>Sofie (Bulharsko)</t>
  </si>
  <si>
    <t>Stockholm (Švédsko)</t>
  </si>
  <si>
    <t>Stuttgard (Německo)</t>
  </si>
  <si>
    <t>Talin (Estonsko)</t>
  </si>
  <si>
    <t>Tenefire (Španělsko)</t>
  </si>
  <si>
    <t>Tromso (Norsko)</t>
  </si>
  <si>
    <t>Tunis (Tunisko)</t>
  </si>
  <si>
    <t>Varna (Bulharsko)</t>
  </si>
  <si>
    <t>Vídeň (Rakousko)</t>
  </si>
  <si>
    <t>Volgograd (Rusko)</t>
  </si>
  <si>
    <t>Varšava (Polsko)</t>
  </si>
  <si>
    <t>Záhřeb (Chorvatsko)</t>
  </si>
  <si>
    <t>Přehled cen vybraných produktů v Německu</t>
  </si>
  <si>
    <t>Výrobek</t>
  </si>
  <si>
    <t>EUR</t>
  </si>
  <si>
    <t>GBP</t>
  </si>
  <si>
    <t>Kč</t>
  </si>
  <si>
    <t>Aktuální kurz</t>
  </si>
  <si>
    <t>Poznámka: EUR = Euro, GBP = Britská libra, Kč = České koruny</t>
  </si>
  <si>
    <t>Cappuccino</t>
  </si>
  <si>
    <t xml:space="preserve">1EUR = </t>
  </si>
  <si>
    <t>Jablka</t>
  </si>
  <si>
    <t>1GBP=</t>
  </si>
  <si>
    <t>Jídlo v lepší restauraci o třech chodech</t>
  </si>
  <si>
    <t>Jídlo v levné restauraci</t>
  </si>
  <si>
    <t>Hlávkový salát</t>
  </si>
  <si>
    <t>Sýr</t>
  </si>
  <si>
    <t>Rýže</t>
  </si>
  <si>
    <t>Vejce</t>
  </si>
  <si>
    <t>Rajčata</t>
  </si>
  <si>
    <t>Pivo v restauraci 0.5 l</t>
  </si>
  <si>
    <t>Pivo z dovozu - 0.33 l láhev</t>
  </si>
  <si>
    <t>Přehled cen vybraných produktů ve Velké Británií</t>
  </si>
  <si>
    <t>Přehled cen vybraných produktů v České republice</t>
  </si>
  <si>
    <t xml:space="preserve">Tabulka velikostí obdelníkových ploch střech </t>
  </si>
  <si>
    <t>Strana a [m]</t>
  </si>
  <si>
    <t>Strana b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</si>
</sst>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č&quot;_-;\-* #,##0.00\ &quot;Kč&quot;_-;_-* &quot;-&quot;??\ &quot;Kč&quot;_-;_-@_-"/>
    <numFmt numFmtId="164" formatCode="#,##0.00\ _K_č"/>
    <numFmt numFmtId="165" formatCode="_-* #,##0.00\ [$€-1]_-;\-* #,##0.00\ [$€-1]_-;_-* &quot;-&quot;??\ [$€-1]_-;_-@_-"/>
    <numFmt numFmtId="166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0" fontId="2" fillId="0" borderId="2" xfId="0" applyFont="1" applyBorder="1"/>
    <xf numFmtId="0" fontId="0" fillId="5" borderId="0" xfId="0" applyFill="1"/>
    <xf numFmtId="0" fontId="2" fillId="4" borderId="2" xfId="0" applyFont="1" applyFill="1" applyBorder="1"/>
    <xf numFmtId="0" fontId="2" fillId="6" borderId="2" xfId="0" applyFont="1" applyFill="1" applyBorder="1"/>
    <xf numFmtId="44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0" fontId="3" fillId="2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vertical="center" textRotation="255"/>
    </xf>
    <xf numFmtId="0" fontId="5" fillId="5" borderId="3" xfId="0" applyFont="1" applyFill="1" applyBorder="1" applyAlignment="1">
      <alignment horizontal="center" shrinkToFit="1"/>
    </xf>
    <xf numFmtId="0" fontId="5" fillId="5" borderId="4" xfId="0" applyFont="1" applyFill="1" applyBorder="1" applyAlignment="1">
      <alignment horizontal="center" shrinkToFit="1"/>
    </xf>
    <xf numFmtId="0" fontId="5" fillId="5" borderId="5" xfId="0" applyFont="1" applyFill="1" applyBorder="1" applyAlignment="1">
      <alignment horizontal="center" shrinkToFit="1"/>
    </xf>
  </cellXfs>
  <cellStyles count="2">
    <cellStyle name="Měna" xfId="1" builtinId="4"/>
    <cellStyle name="Normální" xfId="0" builtinId="0"/>
  </cellStyles>
  <dxfs count="11">
    <dxf>
      <numFmt numFmtId="164" formatCode="#,##0.00\ _K_č"/>
    </dxf>
    <dxf>
      <numFmt numFmtId="165" formatCode="_-* #,##0.00\ [$€-1]_-;\-* #,##0.00\ [$€-1]_-;_-* &quot;-&quot;??\ [$€-1]_-;_-@_-"/>
    </dxf>
    <dxf>
      <numFmt numFmtId="164" formatCode="#,##0.00\ _K_č"/>
    </dxf>
    <dxf>
      <numFmt numFmtId="166" formatCode="_-[$£-809]* #,##0.00_-;\-[$£-809]* #,##0.00_-;_-[$£-809]* &quot;-&quot;??_-;_-@_-"/>
    </dxf>
    <dxf>
      <numFmt numFmtId="165" formatCode="_-* #,##0.00\ [$€-1]_-;\-* #,##0.00\ [$€-1]_-;_-* &quot;-&quot;??\ [$€-1]_-;_-@_-"/>
    </dxf>
    <dxf>
      <numFmt numFmtId="164" formatCode="#,##0.00\ _K_č"/>
    </dxf>
    <dxf>
      <numFmt numFmtId="164" formatCode="#,##0.00\ _K_č"/>
    </dxf>
    <dxf>
      <numFmt numFmtId="165" formatCode="_-* #,##0.00\ [$€-1]_-;\-* #,##0.00\ [$€-1]_-;_-* &quot;-&quot;??\ [$€-1]_-;_-@_-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5E27C-F202-4C96-A909-BB64C4B396A5}" name="Tabulka2" displayName="Tabulka2" ref="A3:F83" totalsRowShown="0" headerRowDxfId="10">
  <tableColumns count="6">
    <tableColumn id="1" xr3:uid="{829189A7-2EA9-4B3E-B02D-8C767F0AAC9C}" name="Stanice"/>
    <tableColumn id="2" xr3:uid="{AA4387F7-0E32-4EE3-BA49-0D22E46DE758}" name="Teplota [°C]"/>
    <tableColumn id="3" xr3:uid="{F4BA6F73-B290-4603-8037-045B7BA3406D}" name="Rychlost větru [m/s]"/>
    <tableColumn id="4" xr3:uid="{E2DC57AD-012A-4423-8BB6-534F1A9588E8}" name="Oblačnost"/>
    <tableColumn id="5" xr3:uid="{DC9AA336-A99D-416F-952D-87F6FB78BBA2}" name="Rozdíl teplot oproti Praze" dataDxfId="9">
      <calculatedColumnFormula>Tabulka2[[#This Row],[Teplota '[°C']]]-$B$64</calculatedColumnFormula>
    </tableColumn>
    <tableColumn id="6" xr3:uid="{05DE678D-C96F-4135-9451-CA4090D1EE77}" name="Rozdíl rychlosti větru oproti Praze" dataDxfId="8">
      <calculatedColumnFormula>Tabulka2[[#This Row],[Rychlost větru '[m/s']]]-$C$64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4E9A9A-180A-490C-A6CA-DA679C1132DE}" name="Tabulka3" displayName="Tabulka3" ref="A3:D14" totalsRowShown="0">
  <tableColumns count="4">
    <tableColumn id="1" xr3:uid="{98D63584-AA7F-4EE6-9786-8CD12799635B}" name="Výrobek"/>
    <tableColumn id="2" xr3:uid="{DC1715B1-5531-4C95-BAC2-C74DB53BC89B}" name="EUR" dataDxfId="7" dataCellStyle="Měna"/>
    <tableColumn id="3" xr3:uid="{3748C2E4-5AEE-4E52-BD22-2D9B41209A57}" name="GBP" dataDxfId="6">
      <calculatedColumnFormula>Tabulka3[[#This Row],[EUR]]*$H$6</calculatedColumnFormula>
    </tableColumn>
    <tableColumn id="4" xr3:uid="{CCB54C4A-BFB3-4F70-BEBF-D6E4E15EE7C7}" name="Kč" dataDxfId="5">
      <calculatedColumnFormula>Tabulka3[[#This Row],[EUR]]*$H$4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FEA6B-DB1A-4EA5-B16A-BD2F8E4AFB7F}" name="Tabulka36" displayName="Tabulka36" ref="A19:D30" totalsRowShown="0">
  <tableColumns count="4">
    <tableColumn id="1" xr3:uid="{819D74B2-E865-47A5-AA63-B454403F1D8C}" name="Výrobek"/>
    <tableColumn id="2" xr3:uid="{B6B0E89A-1376-471F-A76A-02B0D61D2CCF}" name="EUR" dataDxfId="4" dataCellStyle="Měna">
      <calculatedColumnFormula>Tabulka36[[#This Row],[Kč]]/$H$4</calculatedColumnFormula>
    </tableColumn>
    <tableColumn id="3" xr3:uid="{ACCBAE79-582F-4652-84D4-A547FAB68298}" name="GBP" dataDxfId="3" dataCellStyle="Měna"/>
    <tableColumn id="4" xr3:uid="{76EBBEDE-7356-4BCB-8FDD-94A64E338973}" name="Kč" dataDxfId="2">
      <calculatedColumnFormula>Tabulka36[[#This Row],[GBP]]*$H$5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4CB5F-EA60-45C7-960A-C51C2ECAC865}" name="Tabulka37" displayName="Tabulka37" ref="A35:D46" totalsRowShown="0">
  <tableColumns count="4">
    <tableColumn id="1" xr3:uid="{E339A07D-D0C5-4186-9F12-0C01CCE7CDBC}" name="Výrobek"/>
    <tableColumn id="2" xr3:uid="{77809F3E-5167-42C5-967C-33635A384C5E}" name="EUR" dataDxfId="1" dataCellStyle="Měna">
      <calculatedColumnFormula>Tabulka37[[#This Row],[Kč]]/$H$4</calculatedColumnFormula>
    </tableColumn>
    <tableColumn id="3" xr3:uid="{426B3757-1353-4E8F-9C8A-C4E1E33598C0}" name="GBP" dataDxfId="0">
      <calculatedColumnFormula>Tabulka37[[#This Row],[Kč]]/$H$5</calculatedColumnFormula>
    </tableColumn>
    <tableColumn id="4" xr3:uid="{3C5457D3-7514-4BBB-846A-70C3819CC118}" name="Kč" dataCellStyle="Mě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4" width="24.5703125" customWidth="1"/>
    <col min="5" max="5" width="14.5703125" customWidth="1"/>
    <col min="6" max="6" width="20.5703125" customWidth="1"/>
  </cols>
  <sheetData>
    <row r="1" spans="1:6" ht="23.25" x14ac:dyDescent="0.35">
      <c r="A1" s="6" t="s">
        <v>0</v>
      </c>
    </row>
    <row r="3" spans="1:6" s="3" customFormat="1" ht="30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t="s">
        <v>7</v>
      </c>
      <c r="B4">
        <v>16.5</v>
      </c>
      <c r="C4">
        <v>2</v>
      </c>
      <c r="D4" t="s">
        <v>8</v>
      </c>
      <c r="E4">
        <f>Tabulka2[[#This Row],[Teplota '[°C']]]-$B$64</f>
        <v>15</v>
      </c>
      <c r="F4">
        <f>Tabulka2[[#This Row],[Rychlost větru '[m/s']]]-$C$64</f>
        <v>-3</v>
      </c>
    </row>
    <row r="5" spans="1:6" x14ac:dyDescent="0.25">
      <c r="A5" t="s">
        <v>9</v>
      </c>
      <c r="B5">
        <v>14.2</v>
      </c>
      <c r="C5">
        <v>5</v>
      </c>
      <c r="D5" t="s">
        <v>10</v>
      </c>
      <c r="E5">
        <f>Tabulka2[[#This Row],[Teplota '[°C']]]-$B$64</f>
        <v>12.7</v>
      </c>
      <c r="F5">
        <f>Tabulka2[[#This Row],[Rychlost větru '[m/s']]]-$C$64</f>
        <v>0</v>
      </c>
    </row>
    <row r="6" spans="1:6" x14ac:dyDescent="0.25">
      <c r="A6" t="s">
        <v>11</v>
      </c>
      <c r="B6">
        <v>2.8</v>
      </c>
      <c r="C6">
        <v>2</v>
      </c>
      <c r="D6" t="s">
        <v>12</v>
      </c>
      <c r="E6">
        <f>Tabulka2[[#This Row],[Teplota '[°C']]]-$B$64</f>
        <v>1.2999999999999998</v>
      </c>
      <c r="F6">
        <f>Tabulka2[[#This Row],[Rychlost větru '[m/s']]]-$C$64</f>
        <v>-3</v>
      </c>
    </row>
    <row r="7" spans="1:6" x14ac:dyDescent="0.25">
      <c r="A7" t="s">
        <v>13</v>
      </c>
      <c r="B7">
        <v>15.6</v>
      </c>
      <c r="C7">
        <v>2</v>
      </c>
      <c r="D7" t="s">
        <v>14</v>
      </c>
      <c r="E7">
        <f>Tabulka2[[#This Row],[Teplota '[°C']]]-$B$64</f>
        <v>14.1</v>
      </c>
      <c r="F7">
        <f>Tabulka2[[#This Row],[Rychlost větru '[m/s']]]-$C$64</f>
        <v>-3</v>
      </c>
    </row>
    <row r="8" spans="1:6" x14ac:dyDescent="0.25">
      <c r="A8" t="s">
        <v>15</v>
      </c>
      <c r="B8">
        <v>-3.2</v>
      </c>
      <c r="C8">
        <v>4</v>
      </c>
      <c r="D8" t="s">
        <v>8</v>
      </c>
      <c r="E8">
        <f>Tabulka2[[#This Row],[Teplota '[°C']]]-$B$64</f>
        <v>-4.7</v>
      </c>
      <c r="F8">
        <f>Tabulka2[[#This Row],[Rychlost větru '[m/s']]]-$C$64</f>
        <v>-1</v>
      </c>
    </row>
    <row r="9" spans="1:6" x14ac:dyDescent="0.25">
      <c r="A9" t="s">
        <v>16</v>
      </c>
      <c r="B9">
        <v>19.8</v>
      </c>
      <c r="C9">
        <v>7</v>
      </c>
      <c r="D9" t="s">
        <v>10</v>
      </c>
      <c r="E9">
        <f>Tabulka2[[#This Row],[Teplota '[°C']]]-$B$64</f>
        <v>18.3</v>
      </c>
      <c r="F9">
        <f>Tabulka2[[#This Row],[Rychlost větru '[m/s']]]-$C$64</f>
        <v>2</v>
      </c>
    </row>
    <row r="10" spans="1:6" x14ac:dyDescent="0.25">
      <c r="A10" t="s">
        <v>17</v>
      </c>
      <c r="B10">
        <v>13</v>
      </c>
      <c r="C10">
        <v>1</v>
      </c>
      <c r="D10" t="s">
        <v>10</v>
      </c>
      <c r="E10">
        <f>Tabulka2[[#This Row],[Teplota '[°C']]]-$B$64</f>
        <v>11.5</v>
      </c>
      <c r="F10">
        <f>Tabulka2[[#This Row],[Rychlost větru '[m/s']]]-$C$64</f>
        <v>-4</v>
      </c>
    </row>
    <row r="11" spans="1:6" x14ac:dyDescent="0.25">
      <c r="A11" t="s">
        <v>18</v>
      </c>
      <c r="B11">
        <v>12.9</v>
      </c>
      <c r="C11">
        <v>2</v>
      </c>
      <c r="D11" t="s">
        <v>10</v>
      </c>
      <c r="E11">
        <f>Tabulka2[[#This Row],[Teplota '[°C']]]-$B$64</f>
        <v>11.4</v>
      </c>
      <c r="F11">
        <f>Tabulka2[[#This Row],[Rychlost větru '[m/s']]]-$C$64</f>
        <v>-3</v>
      </c>
    </row>
    <row r="12" spans="1:6" x14ac:dyDescent="0.25">
      <c r="A12" t="s">
        <v>19</v>
      </c>
      <c r="B12">
        <v>4.9000000000000004</v>
      </c>
      <c r="C12">
        <v>5</v>
      </c>
      <c r="D12" t="s">
        <v>8</v>
      </c>
      <c r="E12">
        <f>Tabulka2[[#This Row],[Teplota '[°C']]]-$B$64</f>
        <v>3.4000000000000004</v>
      </c>
      <c r="F12">
        <f>Tabulka2[[#This Row],[Rychlost větru '[m/s']]]-$C$64</f>
        <v>0</v>
      </c>
    </row>
    <row r="13" spans="1:6" x14ac:dyDescent="0.25">
      <c r="A13" t="s">
        <v>20</v>
      </c>
      <c r="B13">
        <v>5.7</v>
      </c>
      <c r="C13">
        <v>4</v>
      </c>
      <c r="D13" t="s">
        <v>10</v>
      </c>
      <c r="E13">
        <f>Tabulka2[[#This Row],[Teplota '[°C']]]-$B$64</f>
        <v>4.2</v>
      </c>
      <c r="F13">
        <f>Tabulka2[[#This Row],[Rychlost větru '[m/s']]]-$C$64</f>
        <v>-1</v>
      </c>
    </row>
    <row r="14" spans="1:6" x14ac:dyDescent="0.25">
      <c r="A14" t="s">
        <v>21</v>
      </c>
      <c r="B14">
        <v>10.7</v>
      </c>
      <c r="C14">
        <v>1</v>
      </c>
      <c r="D14" t="s">
        <v>22</v>
      </c>
      <c r="E14">
        <f>Tabulka2[[#This Row],[Teplota '[°C']]]-$B$64</f>
        <v>9.1999999999999993</v>
      </c>
      <c r="F14">
        <f>Tabulka2[[#This Row],[Rychlost větru '[m/s']]]-$C$64</f>
        <v>-4</v>
      </c>
    </row>
    <row r="15" spans="1:6" x14ac:dyDescent="0.25">
      <c r="A15" t="s">
        <v>23</v>
      </c>
      <c r="B15">
        <v>4.3</v>
      </c>
      <c r="C15">
        <v>5</v>
      </c>
      <c r="D15" t="s">
        <v>24</v>
      </c>
      <c r="E15">
        <f>Tabulka2[[#This Row],[Teplota '[°C']]]-$B$64</f>
        <v>2.8</v>
      </c>
      <c r="F15">
        <f>Tabulka2[[#This Row],[Rychlost větru '[m/s']]]-$C$64</f>
        <v>0</v>
      </c>
    </row>
    <row r="16" spans="1:6" x14ac:dyDescent="0.25">
      <c r="A16" t="s">
        <v>25</v>
      </c>
      <c r="B16">
        <v>4.5</v>
      </c>
      <c r="C16">
        <v>2</v>
      </c>
      <c r="D16" t="s">
        <v>22</v>
      </c>
      <c r="E16">
        <f>Tabulka2[[#This Row],[Teplota '[°C']]]-$B$64</f>
        <v>3</v>
      </c>
      <c r="F16">
        <f>Tabulka2[[#This Row],[Rychlost větru '[m/s']]]-$C$64</f>
        <v>-3</v>
      </c>
    </row>
    <row r="17" spans="1:6" x14ac:dyDescent="0.25">
      <c r="A17" t="s">
        <v>26</v>
      </c>
      <c r="B17">
        <v>6.2</v>
      </c>
      <c r="C17">
        <v>7</v>
      </c>
      <c r="D17" t="s">
        <v>8</v>
      </c>
      <c r="E17">
        <f>Tabulka2[[#This Row],[Teplota '[°C']]]-$B$64</f>
        <v>4.7</v>
      </c>
      <c r="F17">
        <f>Tabulka2[[#This Row],[Rychlost větru '[m/s']]]-$C$64</f>
        <v>2</v>
      </c>
    </row>
    <row r="18" spans="1:6" x14ac:dyDescent="0.25">
      <c r="A18" t="s">
        <v>27</v>
      </c>
      <c r="B18">
        <v>7.7</v>
      </c>
      <c r="C18">
        <v>4</v>
      </c>
      <c r="D18" t="s">
        <v>24</v>
      </c>
      <c r="E18">
        <f>Tabulka2[[#This Row],[Teplota '[°C']]]-$B$64</f>
        <v>6.2</v>
      </c>
      <c r="F18">
        <f>Tabulka2[[#This Row],[Rychlost větru '[m/s']]]-$C$64</f>
        <v>-1</v>
      </c>
    </row>
    <row r="19" spans="1:6" x14ac:dyDescent="0.25">
      <c r="A19" t="s">
        <v>28</v>
      </c>
      <c r="B19">
        <v>2</v>
      </c>
      <c r="C19">
        <v>5</v>
      </c>
      <c r="D19" t="s">
        <v>22</v>
      </c>
      <c r="E19">
        <f>Tabulka2[[#This Row],[Teplota '[°C']]]-$B$64</f>
        <v>0.5</v>
      </c>
      <c r="F19">
        <f>Tabulka2[[#This Row],[Rychlost větru '[m/s']]]-$C$64</f>
        <v>0</v>
      </c>
    </row>
    <row r="20" spans="1:6" x14ac:dyDescent="0.25">
      <c r="A20" t="s">
        <v>29</v>
      </c>
      <c r="B20">
        <v>6.8</v>
      </c>
      <c r="C20">
        <v>3</v>
      </c>
      <c r="D20" t="s">
        <v>24</v>
      </c>
      <c r="E20">
        <f>Tabulka2[[#This Row],[Teplota '[°C']]]-$B$64</f>
        <v>5.3</v>
      </c>
      <c r="F20">
        <f>Tabulka2[[#This Row],[Rychlost větru '[m/s']]]-$C$64</f>
        <v>-2</v>
      </c>
    </row>
    <row r="21" spans="1:6" x14ac:dyDescent="0.25">
      <c r="A21" t="s">
        <v>30</v>
      </c>
      <c r="B21">
        <v>3.7</v>
      </c>
      <c r="C21">
        <v>1</v>
      </c>
      <c r="D21" t="s">
        <v>24</v>
      </c>
      <c r="E21">
        <f>Tabulka2[[#This Row],[Teplota '[°C']]]-$B$64</f>
        <v>2.2000000000000002</v>
      </c>
      <c r="F21">
        <f>Tabulka2[[#This Row],[Rychlost větru '[m/s']]]-$C$64</f>
        <v>-4</v>
      </c>
    </row>
    <row r="22" spans="1:6" x14ac:dyDescent="0.25">
      <c r="A22" t="s">
        <v>31</v>
      </c>
      <c r="B22">
        <v>8.5</v>
      </c>
      <c r="C22">
        <v>2</v>
      </c>
      <c r="D22" t="s">
        <v>24</v>
      </c>
      <c r="E22">
        <f>Tabulka2[[#This Row],[Teplota '[°C']]]-$B$64</f>
        <v>7</v>
      </c>
      <c r="F22">
        <f>Tabulka2[[#This Row],[Rychlost větru '[m/s']]]-$C$64</f>
        <v>-3</v>
      </c>
    </row>
    <row r="23" spans="1:6" x14ac:dyDescent="0.25">
      <c r="A23" t="s">
        <v>32</v>
      </c>
      <c r="B23">
        <v>18.3</v>
      </c>
      <c r="C23">
        <v>2</v>
      </c>
      <c r="D23" t="s">
        <v>14</v>
      </c>
      <c r="E23">
        <f>Tabulka2[[#This Row],[Teplota '[°C']]]-$B$64</f>
        <v>16.8</v>
      </c>
      <c r="F23">
        <f>Tabulka2[[#This Row],[Rychlost větru '[m/s']]]-$C$64</f>
        <v>-3</v>
      </c>
    </row>
    <row r="24" spans="1:6" x14ac:dyDescent="0.25">
      <c r="A24" t="s">
        <v>33</v>
      </c>
      <c r="B24">
        <v>8.4</v>
      </c>
      <c r="C24">
        <v>3</v>
      </c>
      <c r="D24" t="s">
        <v>12</v>
      </c>
      <c r="E24">
        <f>Tabulka2[[#This Row],[Teplota '[°C']]]-$B$64</f>
        <v>6.9</v>
      </c>
      <c r="F24">
        <f>Tabulka2[[#This Row],[Rychlost větru '[m/s']]]-$C$64</f>
        <v>-2</v>
      </c>
    </row>
    <row r="25" spans="1:6" x14ac:dyDescent="0.25">
      <c r="A25" t="s">
        <v>34</v>
      </c>
      <c r="B25">
        <v>15</v>
      </c>
      <c r="C25">
        <v>3</v>
      </c>
      <c r="D25" t="s">
        <v>10</v>
      </c>
      <c r="E25">
        <f>Tabulka2[[#This Row],[Teplota '[°C']]]-$B$64</f>
        <v>13.5</v>
      </c>
      <c r="F25">
        <f>Tabulka2[[#This Row],[Rychlost větru '[m/s']]]-$C$64</f>
        <v>-2</v>
      </c>
    </row>
    <row r="26" spans="1:6" x14ac:dyDescent="0.25">
      <c r="A26" t="s">
        <v>35</v>
      </c>
      <c r="B26">
        <v>3.7</v>
      </c>
      <c r="C26">
        <v>3</v>
      </c>
      <c r="D26" t="s">
        <v>22</v>
      </c>
      <c r="E26">
        <f>Tabulka2[[#This Row],[Teplota '[°C']]]-$B$64</f>
        <v>2.2000000000000002</v>
      </c>
      <c r="F26">
        <f>Tabulka2[[#This Row],[Rychlost větru '[m/s']]]-$C$64</f>
        <v>-2</v>
      </c>
    </row>
    <row r="27" spans="1:6" x14ac:dyDescent="0.25">
      <c r="A27" t="s">
        <v>36</v>
      </c>
      <c r="B27">
        <v>10.6</v>
      </c>
      <c r="C27">
        <v>2</v>
      </c>
      <c r="D27" t="s">
        <v>22</v>
      </c>
      <c r="E27">
        <f>Tabulka2[[#This Row],[Teplota '[°C']]]-$B$64</f>
        <v>9.1</v>
      </c>
      <c r="F27">
        <f>Tabulka2[[#This Row],[Rychlost větru '[m/s']]]-$C$64</f>
        <v>-3</v>
      </c>
    </row>
    <row r="28" spans="1:6" x14ac:dyDescent="0.25">
      <c r="A28" t="s">
        <v>37</v>
      </c>
      <c r="B28">
        <v>3.2</v>
      </c>
      <c r="C28">
        <v>2</v>
      </c>
      <c r="D28" t="s">
        <v>24</v>
      </c>
      <c r="E28">
        <f>Tabulka2[[#This Row],[Teplota '[°C']]]-$B$64</f>
        <v>1.7000000000000002</v>
      </c>
      <c r="F28">
        <f>Tabulka2[[#This Row],[Rychlost větru '[m/s']]]-$C$64</f>
        <v>-3</v>
      </c>
    </row>
    <row r="29" spans="1:6" x14ac:dyDescent="0.25">
      <c r="A29" t="s">
        <v>38</v>
      </c>
      <c r="B29">
        <v>2.7</v>
      </c>
      <c r="C29">
        <v>1</v>
      </c>
      <c r="D29" t="s">
        <v>24</v>
      </c>
      <c r="E29">
        <f>Tabulka2[[#This Row],[Teplota '[°C']]]-$B$64</f>
        <v>1.2000000000000002</v>
      </c>
      <c r="F29">
        <f>Tabulka2[[#This Row],[Rychlost větru '[m/s']]]-$C$64</f>
        <v>-4</v>
      </c>
    </row>
    <row r="30" spans="1:6" x14ac:dyDescent="0.25">
      <c r="A30" t="s">
        <v>39</v>
      </c>
      <c r="B30">
        <v>3</v>
      </c>
      <c r="C30">
        <v>4</v>
      </c>
      <c r="D30" t="s">
        <v>12</v>
      </c>
      <c r="E30">
        <f>Tabulka2[[#This Row],[Teplota '[°C']]]-$B$64</f>
        <v>1.5</v>
      </c>
      <c r="F30">
        <f>Tabulka2[[#This Row],[Rychlost větru '[m/s']]]-$C$64</f>
        <v>-1</v>
      </c>
    </row>
    <row r="31" spans="1:6" x14ac:dyDescent="0.25">
      <c r="A31" t="s">
        <v>40</v>
      </c>
      <c r="B31">
        <v>3.7</v>
      </c>
      <c r="C31">
        <v>3</v>
      </c>
      <c r="D31" t="s">
        <v>41</v>
      </c>
      <c r="E31">
        <f>Tabulka2[[#This Row],[Teplota '[°C']]]-$B$64</f>
        <v>2.2000000000000002</v>
      </c>
      <c r="F31">
        <f>Tabulka2[[#This Row],[Rychlost větru '[m/s']]]-$C$64</f>
        <v>-2</v>
      </c>
    </row>
    <row r="32" spans="1:6" x14ac:dyDescent="0.25">
      <c r="A32" t="s">
        <v>42</v>
      </c>
      <c r="B32">
        <v>-3.2</v>
      </c>
      <c r="C32">
        <v>4</v>
      </c>
      <c r="D32" t="s">
        <v>14</v>
      </c>
      <c r="E32">
        <f>Tabulka2[[#This Row],[Teplota '[°C']]]-$B$64</f>
        <v>-4.7</v>
      </c>
      <c r="F32">
        <f>Tabulka2[[#This Row],[Rychlost větru '[m/s']]]-$C$64</f>
        <v>-1</v>
      </c>
    </row>
    <row r="33" spans="1:6" x14ac:dyDescent="0.25">
      <c r="A33" t="s">
        <v>43</v>
      </c>
      <c r="B33">
        <v>15.6</v>
      </c>
      <c r="C33">
        <v>4</v>
      </c>
      <c r="D33" t="s">
        <v>24</v>
      </c>
      <c r="E33">
        <f>Tabulka2[[#This Row],[Teplota '[°C']]]-$B$64</f>
        <v>14.1</v>
      </c>
      <c r="F33">
        <f>Tabulka2[[#This Row],[Rychlost větru '[m/s']]]-$C$64</f>
        <v>-1</v>
      </c>
    </row>
    <row r="34" spans="1:6" x14ac:dyDescent="0.25">
      <c r="A34" t="s">
        <v>44</v>
      </c>
      <c r="B34">
        <v>23.8</v>
      </c>
      <c r="C34">
        <v>6</v>
      </c>
      <c r="D34" t="s">
        <v>14</v>
      </c>
      <c r="E34">
        <f>Tabulka2[[#This Row],[Teplota '[°C']]]-$B$64</f>
        <v>22.3</v>
      </c>
      <c r="F34">
        <f>Tabulka2[[#This Row],[Rychlost větru '[m/s']]]-$C$64</f>
        <v>1</v>
      </c>
    </row>
    <row r="35" spans="1:6" x14ac:dyDescent="0.25">
      <c r="A35" t="s">
        <v>45</v>
      </c>
      <c r="B35">
        <v>2.2000000000000002</v>
      </c>
      <c r="C35">
        <v>1</v>
      </c>
      <c r="D35" t="s">
        <v>8</v>
      </c>
      <c r="E35">
        <f>Tabulka2[[#This Row],[Teplota '[°C']]]-$B$64</f>
        <v>0.70000000000000018</v>
      </c>
      <c r="F35">
        <f>Tabulka2[[#This Row],[Rychlost větru '[m/s']]]-$C$64</f>
        <v>-4</v>
      </c>
    </row>
    <row r="36" spans="1:6" x14ac:dyDescent="0.25">
      <c r="A36" t="s">
        <v>46</v>
      </c>
      <c r="B36">
        <v>10.3</v>
      </c>
      <c r="C36">
        <v>1</v>
      </c>
      <c r="D36" t="s">
        <v>12</v>
      </c>
      <c r="E36">
        <f>Tabulka2[[#This Row],[Teplota '[°C']]]-$B$64</f>
        <v>8.8000000000000007</v>
      </c>
      <c r="F36">
        <f>Tabulka2[[#This Row],[Rychlost větru '[m/s']]]-$C$64</f>
        <v>-4</v>
      </c>
    </row>
    <row r="37" spans="1:6" x14ac:dyDescent="0.25">
      <c r="A37" t="s">
        <v>47</v>
      </c>
      <c r="B37">
        <v>20.9</v>
      </c>
      <c r="C37">
        <v>4</v>
      </c>
      <c r="D37" t="s">
        <v>48</v>
      </c>
      <c r="E37">
        <f>Tabulka2[[#This Row],[Teplota '[°C']]]-$B$64</f>
        <v>19.399999999999999</v>
      </c>
      <c r="F37">
        <f>Tabulka2[[#This Row],[Rychlost větru '[m/s']]]-$C$64</f>
        <v>-1</v>
      </c>
    </row>
    <row r="38" spans="1:6" x14ac:dyDescent="0.25">
      <c r="A38" t="s">
        <v>49</v>
      </c>
      <c r="B38">
        <v>-8.5</v>
      </c>
      <c r="C38">
        <v>1</v>
      </c>
      <c r="D38" t="s">
        <v>14</v>
      </c>
      <c r="E38">
        <f>Tabulka2[[#This Row],[Teplota '[°C']]]-$B$64</f>
        <v>-10</v>
      </c>
      <c r="F38">
        <f>Tabulka2[[#This Row],[Rychlost větru '[m/s']]]-$C$64</f>
        <v>-4</v>
      </c>
    </row>
    <row r="39" spans="1:6" x14ac:dyDescent="0.25">
      <c r="A39" t="s">
        <v>50</v>
      </c>
      <c r="B39">
        <v>2.2000000000000002</v>
      </c>
      <c r="C39">
        <v>5</v>
      </c>
      <c r="D39" t="s">
        <v>24</v>
      </c>
      <c r="E39">
        <f>Tabulka2[[#This Row],[Teplota '[°C']]]-$B$64</f>
        <v>0.70000000000000018</v>
      </c>
      <c r="F39">
        <f>Tabulka2[[#This Row],[Rychlost větru '[m/s']]]-$C$64</f>
        <v>0</v>
      </c>
    </row>
    <row r="40" spans="1:6" x14ac:dyDescent="0.25">
      <c r="A40" t="s">
        <v>51</v>
      </c>
      <c r="B40">
        <v>1.3</v>
      </c>
      <c r="C40">
        <v>5</v>
      </c>
      <c r="D40" t="s">
        <v>22</v>
      </c>
      <c r="E40">
        <f>Tabulka2[[#This Row],[Teplota '[°C']]]-$B$64</f>
        <v>-0.19999999999999996</v>
      </c>
      <c r="F40">
        <f>Tabulka2[[#This Row],[Rychlost větru '[m/s']]]-$C$64</f>
        <v>0</v>
      </c>
    </row>
    <row r="41" spans="1:6" x14ac:dyDescent="0.25">
      <c r="A41" t="s">
        <v>52</v>
      </c>
      <c r="B41">
        <v>-0.4</v>
      </c>
      <c r="C41">
        <v>3</v>
      </c>
      <c r="D41" t="s">
        <v>8</v>
      </c>
      <c r="E41">
        <f>Tabulka2[[#This Row],[Teplota '[°C']]]-$B$64</f>
        <v>-1.9</v>
      </c>
      <c r="F41">
        <f>Tabulka2[[#This Row],[Rychlost větru '[m/s']]]-$C$64</f>
        <v>-2</v>
      </c>
    </row>
    <row r="42" spans="1:6" x14ac:dyDescent="0.25">
      <c r="A42" t="s">
        <v>53</v>
      </c>
      <c r="B42">
        <v>20.9</v>
      </c>
      <c r="C42">
        <v>3</v>
      </c>
      <c r="D42" t="s">
        <v>10</v>
      </c>
      <c r="E42">
        <f>Tabulka2[[#This Row],[Teplota '[°C']]]-$B$64</f>
        <v>19.399999999999999</v>
      </c>
      <c r="F42">
        <f>Tabulka2[[#This Row],[Rychlost větru '[m/s']]]-$C$64</f>
        <v>-2</v>
      </c>
    </row>
    <row r="43" spans="1:6" x14ac:dyDescent="0.25">
      <c r="A43" t="s">
        <v>54</v>
      </c>
      <c r="B43">
        <v>3.3</v>
      </c>
      <c r="C43">
        <v>3</v>
      </c>
      <c r="D43" t="s">
        <v>12</v>
      </c>
      <c r="E43">
        <f>Tabulka2[[#This Row],[Teplota '[°C']]]-$B$64</f>
        <v>1.7999999999999998</v>
      </c>
      <c r="F43">
        <f>Tabulka2[[#This Row],[Rychlost větru '[m/s']]]-$C$64</f>
        <v>-2</v>
      </c>
    </row>
    <row r="44" spans="1:6" x14ac:dyDescent="0.25">
      <c r="A44" t="s">
        <v>55</v>
      </c>
      <c r="B44">
        <v>14.1</v>
      </c>
      <c r="C44">
        <v>8</v>
      </c>
      <c r="D44" t="s">
        <v>41</v>
      </c>
      <c r="E44">
        <f>Tabulka2[[#This Row],[Teplota '[°C']]]-$B$64</f>
        <v>12.6</v>
      </c>
      <c r="F44">
        <f>Tabulka2[[#This Row],[Rychlost větru '[m/s']]]-$C$64</f>
        <v>3</v>
      </c>
    </row>
    <row r="45" spans="1:6" x14ac:dyDescent="0.25">
      <c r="A45" t="s">
        <v>56</v>
      </c>
      <c r="B45">
        <v>4.5</v>
      </c>
      <c r="C45">
        <v>2</v>
      </c>
      <c r="D45" t="s">
        <v>10</v>
      </c>
      <c r="E45">
        <f>Tabulka2[[#This Row],[Teplota '[°C']]]-$B$64</f>
        <v>3</v>
      </c>
      <c r="F45">
        <f>Tabulka2[[#This Row],[Rychlost větru '[m/s']]]-$C$64</f>
        <v>-3</v>
      </c>
    </row>
    <row r="46" spans="1:6" x14ac:dyDescent="0.25">
      <c r="A46" t="s">
        <v>57</v>
      </c>
      <c r="B46">
        <v>9.6</v>
      </c>
      <c r="C46">
        <v>5</v>
      </c>
      <c r="D46" t="s">
        <v>48</v>
      </c>
      <c r="E46">
        <f>Tabulka2[[#This Row],[Teplota '[°C']]]-$B$64</f>
        <v>8.1</v>
      </c>
      <c r="F46">
        <f>Tabulka2[[#This Row],[Rychlost větru '[m/s']]]-$C$64</f>
        <v>0</v>
      </c>
    </row>
    <row r="47" spans="1:6" x14ac:dyDescent="0.25">
      <c r="A47" t="s">
        <v>58</v>
      </c>
      <c r="B47">
        <v>13.3</v>
      </c>
      <c r="C47">
        <v>7</v>
      </c>
      <c r="D47" t="s">
        <v>10</v>
      </c>
      <c r="E47">
        <f>Tabulka2[[#This Row],[Teplota '[°C']]]-$B$64</f>
        <v>11.8</v>
      </c>
      <c r="F47">
        <f>Tabulka2[[#This Row],[Rychlost větru '[m/s']]]-$C$64</f>
        <v>2</v>
      </c>
    </row>
    <row r="48" spans="1:6" x14ac:dyDescent="0.25">
      <c r="A48" t="s">
        <v>59</v>
      </c>
      <c r="B48">
        <v>11</v>
      </c>
      <c r="C48">
        <v>9</v>
      </c>
      <c r="D48" t="s">
        <v>10</v>
      </c>
      <c r="E48">
        <f>Tabulka2[[#This Row],[Teplota '[°C']]]-$B$64</f>
        <v>9.5</v>
      </c>
      <c r="F48">
        <f>Tabulka2[[#This Row],[Rychlost větru '[m/s']]]-$C$64</f>
        <v>4</v>
      </c>
    </row>
    <row r="49" spans="1:6" x14ac:dyDescent="0.25">
      <c r="A49" t="s">
        <v>60</v>
      </c>
      <c r="B49">
        <v>17.2</v>
      </c>
      <c r="C49">
        <v>3</v>
      </c>
      <c r="D49" t="s">
        <v>22</v>
      </c>
      <c r="E49">
        <f>Tabulka2[[#This Row],[Teplota '[°C']]]-$B$64</f>
        <v>15.7</v>
      </c>
      <c r="F49">
        <f>Tabulka2[[#This Row],[Rychlost větru '[m/s']]]-$C$64</f>
        <v>-2</v>
      </c>
    </row>
    <row r="50" spans="1:6" x14ac:dyDescent="0.25">
      <c r="A50" t="s">
        <v>61</v>
      </c>
      <c r="B50">
        <v>9.6999999999999993</v>
      </c>
      <c r="C50">
        <v>2</v>
      </c>
      <c r="D50" t="s">
        <v>10</v>
      </c>
      <c r="E50">
        <f>Tabulka2[[#This Row],[Teplota '[°C']]]-$B$64</f>
        <v>8.1999999999999993</v>
      </c>
      <c r="F50">
        <f>Tabulka2[[#This Row],[Rychlost větru '[m/s']]]-$C$64</f>
        <v>-3</v>
      </c>
    </row>
    <row r="51" spans="1:6" x14ac:dyDescent="0.25">
      <c r="A51" t="s">
        <v>62</v>
      </c>
      <c r="B51">
        <v>-0.3</v>
      </c>
      <c r="C51">
        <v>4</v>
      </c>
      <c r="D51" t="s">
        <v>8</v>
      </c>
      <c r="E51">
        <f>Tabulka2[[#This Row],[Teplota '[°C']]]-$B$64</f>
        <v>-1.8</v>
      </c>
      <c r="F51">
        <f>Tabulka2[[#This Row],[Rychlost větru '[m/s']]]-$C$64</f>
        <v>-1</v>
      </c>
    </row>
    <row r="52" spans="1:6" x14ac:dyDescent="0.25">
      <c r="A52" t="s">
        <v>63</v>
      </c>
      <c r="B52">
        <v>0.7</v>
      </c>
      <c r="C52">
        <v>3</v>
      </c>
      <c r="D52" t="s">
        <v>22</v>
      </c>
      <c r="E52">
        <f>Tabulka2[[#This Row],[Teplota '[°C']]]-$B$64</f>
        <v>-0.8</v>
      </c>
      <c r="F52">
        <f>Tabulka2[[#This Row],[Rychlost větru '[m/s']]]-$C$64</f>
        <v>-2</v>
      </c>
    </row>
    <row r="53" spans="1:6" x14ac:dyDescent="0.25">
      <c r="A53" t="s">
        <v>64</v>
      </c>
      <c r="B53">
        <v>-2.5</v>
      </c>
      <c r="C53">
        <v>2</v>
      </c>
      <c r="D53" t="s">
        <v>22</v>
      </c>
      <c r="E53">
        <f>Tabulka2[[#This Row],[Teplota '[°C']]]-$B$64</f>
        <v>-4</v>
      </c>
      <c r="F53">
        <f>Tabulka2[[#This Row],[Rychlost větru '[m/s']]]-$C$64</f>
        <v>-3</v>
      </c>
    </row>
    <row r="54" spans="1:6" x14ac:dyDescent="0.25">
      <c r="A54" t="s">
        <v>65</v>
      </c>
      <c r="B54">
        <v>-7.1</v>
      </c>
      <c r="C54">
        <v>3</v>
      </c>
      <c r="D54" t="s">
        <v>8</v>
      </c>
      <c r="E54">
        <f>Tabulka2[[#This Row],[Teplota '[°C']]]-$B$64</f>
        <v>-8.6</v>
      </c>
      <c r="F54">
        <f>Tabulka2[[#This Row],[Rychlost větru '[m/s']]]-$C$64</f>
        <v>-2</v>
      </c>
    </row>
    <row r="55" spans="1:6" x14ac:dyDescent="0.25">
      <c r="A55" t="s">
        <v>66</v>
      </c>
      <c r="B55">
        <v>17</v>
      </c>
      <c r="C55">
        <v>2</v>
      </c>
      <c r="D55" t="s">
        <v>24</v>
      </c>
      <c r="E55">
        <f>Tabulka2[[#This Row],[Teplota '[°C']]]-$B$64</f>
        <v>15.5</v>
      </c>
      <c r="F55">
        <f>Tabulka2[[#This Row],[Rychlost větru '[m/s']]]-$C$64</f>
        <v>-3</v>
      </c>
    </row>
    <row r="56" spans="1:6" x14ac:dyDescent="0.25">
      <c r="A56" t="s">
        <v>67</v>
      </c>
      <c r="B56">
        <v>15.2</v>
      </c>
      <c r="C56">
        <v>3</v>
      </c>
      <c r="D56" t="s">
        <v>48</v>
      </c>
      <c r="E56">
        <f>Tabulka2[[#This Row],[Teplota '[°C']]]-$B$64</f>
        <v>13.7</v>
      </c>
      <c r="F56">
        <f>Tabulka2[[#This Row],[Rychlost větru '[m/s']]]-$C$64</f>
        <v>-2</v>
      </c>
    </row>
    <row r="57" spans="1:6" x14ac:dyDescent="0.25">
      <c r="A57" t="s">
        <v>68</v>
      </c>
      <c r="B57">
        <v>-10.7</v>
      </c>
      <c r="C57">
        <v>0</v>
      </c>
      <c r="D57" t="s">
        <v>10</v>
      </c>
      <c r="E57">
        <f>Tabulka2[[#This Row],[Teplota '[°C']]]-$B$64</f>
        <v>-12.2</v>
      </c>
      <c r="F57">
        <f>Tabulka2[[#This Row],[Rychlost větru '[m/s']]]-$C$64</f>
        <v>-5</v>
      </c>
    </row>
    <row r="58" spans="1:6" x14ac:dyDescent="0.25">
      <c r="A58" t="s">
        <v>69</v>
      </c>
      <c r="B58">
        <v>2.2000000000000002</v>
      </c>
      <c r="C58">
        <v>7</v>
      </c>
      <c r="D58" t="s">
        <v>8</v>
      </c>
      <c r="E58">
        <f>Tabulka2[[#This Row],[Teplota '[°C']]]-$B$64</f>
        <v>0.70000000000000018</v>
      </c>
      <c r="F58">
        <f>Tabulka2[[#This Row],[Rychlost větru '[m/s']]]-$C$64</f>
        <v>2</v>
      </c>
    </row>
    <row r="59" spans="1:6" x14ac:dyDescent="0.25">
      <c r="A59" t="s">
        <v>70</v>
      </c>
      <c r="B59">
        <v>18</v>
      </c>
      <c r="C59">
        <v>2</v>
      </c>
      <c r="D59" t="s">
        <v>10</v>
      </c>
      <c r="E59">
        <f>Tabulka2[[#This Row],[Teplota '[°C']]]-$B$64</f>
        <v>16.5</v>
      </c>
      <c r="F59">
        <f>Tabulka2[[#This Row],[Rychlost větru '[m/s']]]-$C$64</f>
        <v>-3</v>
      </c>
    </row>
    <row r="60" spans="1:6" x14ac:dyDescent="0.25">
      <c r="A60" t="s">
        <v>71</v>
      </c>
      <c r="B60">
        <v>6.4</v>
      </c>
      <c r="C60">
        <v>3</v>
      </c>
      <c r="D60" t="s">
        <v>48</v>
      </c>
      <c r="E60">
        <f>Tabulka2[[#This Row],[Teplota '[°C']]]-$B$64</f>
        <v>4.9000000000000004</v>
      </c>
      <c r="F60">
        <f>Tabulka2[[#This Row],[Rychlost větru '[m/s']]]-$C$64</f>
        <v>-2</v>
      </c>
    </row>
    <row r="61" spans="1:6" x14ac:dyDescent="0.25">
      <c r="A61" t="s">
        <v>72</v>
      </c>
      <c r="B61">
        <v>-8.4</v>
      </c>
      <c r="C61">
        <v>4</v>
      </c>
      <c r="D61" t="s">
        <v>8</v>
      </c>
      <c r="E61">
        <f>Tabulka2[[#This Row],[Teplota '[°C']]]-$B$64</f>
        <v>-9.9</v>
      </c>
      <c r="F61">
        <f>Tabulka2[[#This Row],[Rychlost větru '[m/s']]]-$C$64</f>
        <v>-1</v>
      </c>
    </row>
    <row r="62" spans="1:6" x14ac:dyDescent="0.25">
      <c r="A62" t="s">
        <v>73</v>
      </c>
      <c r="B62">
        <v>-0.8</v>
      </c>
      <c r="C62">
        <v>3</v>
      </c>
      <c r="D62" t="s">
        <v>12</v>
      </c>
      <c r="E62">
        <f>Tabulka2[[#This Row],[Teplota '[°C']]]-$B$64</f>
        <v>-2.2999999999999998</v>
      </c>
      <c r="F62">
        <f>Tabulka2[[#This Row],[Rychlost větru '[m/s']]]-$C$64</f>
        <v>-2</v>
      </c>
    </row>
    <row r="63" spans="1:6" x14ac:dyDescent="0.25">
      <c r="A63" t="s">
        <v>74</v>
      </c>
      <c r="B63">
        <v>9.3000000000000007</v>
      </c>
      <c r="C63">
        <v>1</v>
      </c>
      <c r="D63" t="s">
        <v>22</v>
      </c>
      <c r="E63">
        <f>Tabulka2[[#This Row],[Teplota '[°C']]]-$B$64</f>
        <v>7.8000000000000007</v>
      </c>
      <c r="F63">
        <f>Tabulka2[[#This Row],[Rychlost větru '[m/s']]]-$C$64</f>
        <v>-4</v>
      </c>
    </row>
    <row r="64" spans="1:6" x14ac:dyDescent="0.25">
      <c r="A64" t="s">
        <v>75</v>
      </c>
      <c r="B64">
        <v>1.5</v>
      </c>
      <c r="C64">
        <v>5</v>
      </c>
      <c r="D64" t="s">
        <v>48</v>
      </c>
      <c r="E64">
        <f>Tabulka2[[#This Row],[Teplota '[°C']]]-$B$64</f>
        <v>0</v>
      </c>
      <c r="F64">
        <f>Tabulka2[[#This Row],[Rychlost větru '[m/s']]]-$C$64</f>
        <v>0</v>
      </c>
    </row>
    <row r="65" spans="1:6" x14ac:dyDescent="0.25">
      <c r="A65" t="s">
        <v>76</v>
      </c>
      <c r="B65">
        <v>11.4</v>
      </c>
      <c r="C65">
        <v>1</v>
      </c>
      <c r="D65" t="s">
        <v>8</v>
      </c>
      <c r="E65">
        <f>Tabulka2[[#This Row],[Teplota '[°C']]]-$B$64</f>
        <v>9.9</v>
      </c>
      <c r="F65">
        <f>Tabulka2[[#This Row],[Rychlost větru '[m/s']]]-$C$64</f>
        <v>-4</v>
      </c>
    </row>
    <row r="66" spans="1:6" x14ac:dyDescent="0.25">
      <c r="A66" t="s">
        <v>77</v>
      </c>
      <c r="B66">
        <v>9.4</v>
      </c>
      <c r="C66">
        <v>9</v>
      </c>
      <c r="D66" t="s">
        <v>8</v>
      </c>
      <c r="E66">
        <f>Tabulka2[[#This Row],[Teplota '[°C']]]-$B$64</f>
        <v>7.9</v>
      </c>
      <c r="F66">
        <f>Tabulka2[[#This Row],[Rychlost větru '[m/s']]]-$C$64</f>
        <v>4</v>
      </c>
    </row>
    <row r="67" spans="1:6" x14ac:dyDescent="0.25">
      <c r="A67" t="s">
        <v>78</v>
      </c>
      <c r="B67">
        <v>0.7</v>
      </c>
      <c r="C67">
        <v>7</v>
      </c>
      <c r="D67" t="s">
        <v>22</v>
      </c>
      <c r="E67">
        <f>Tabulka2[[#This Row],[Teplota '[°C']]]-$B$64</f>
        <v>-0.8</v>
      </c>
      <c r="F67">
        <f>Tabulka2[[#This Row],[Rychlost větru '[m/s']]]-$C$64</f>
        <v>2</v>
      </c>
    </row>
    <row r="68" spans="1:6" x14ac:dyDescent="0.25">
      <c r="A68" t="s">
        <v>79</v>
      </c>
      <c r="B68">
        <v>8.1999999999999993</v>
      </c>
      <c r="C68">
        <v>1</v>
      </c>
      <c r="D68" t="s">
        <v>10</v>
      </c>
      <c r="E68">
        <f>Tabulka2[[#This Row],[Teplota '[°C']]]-$B$64</f>
        <v>6.6999999999999993</v>
      </c>
      <c r="F68">
        <f>Tabulka2[[#This Row],[Rychlost větru '[m/s']]]-$C$64</f>
        <v>-4</v>
      </c>
    </row>
    <row r="69" spans="1:6" x14ac:dyDescent="0.25">
      <c r="A69" t="s">
        <v>80</v>
      </c>
      <c r="B69">
        <v>17.100000000000001</v>
      </c>
      <c r="C69">
        <v>5</v>
      </c>
      <c r="D69" t="s">
        <v>24</v>
      </c>
      <c r="E69">
        <f>Tabulka2[[#This Row],[Teplota '[°C']]]-$B$64</f>
        <v>15.600000000000001</v>
      </c>
      <c r="F69">
        <f>Tabulka2[[#This Row],[Rychlost větru '[m/s']]]-$C$64</f>
        <v>0</v>
      </c>
    </row>
    <row r="70" spans="1:6" x14ac:dyDescent="0.25">
      <c r="A70" t="s">
        <v>81</v>
      </c>
      <c r="B70">
        <v>0.8</v>
      </c>
      <c r="C70">
        <v>4</v>
      </c>
      <c r="D70" t="s">
        <v>8</v>
      </c>
      <c r="E70">
        <f>Tabulka2[[#This Row],[Teplota '[°C']]]-$B$64</f>
        <v>-0.7</v>
      </c>
      <c r="F70">
        <f>Tabulka2[[#This Row],[Rychlost větru '[m/s']]]-$C$64</f>
        <v>-1</v>
      </c>
    </row>
    <row r="71" spans="1:6" x14ac:dyDescent="0.25">
      <c r="A71" t="s">
        <v>82</v>
      </c>
      <c r="B71">
        <v>3.8</v>
      </c>
      <c r="C71">
        <v>2</v>
      </c>
      <c r="D71" t="s">
        <v>8</v>
      </c>
      <c r="E71">
        <f>Tabulka2[[#This Row],[Teplota '[°C']]]-$B$64</f>
        <v>2.2999999999999998</v>
      </c>
      <c r="F71">
        <f>Tabulka2[[#This Row],[Rychlost větru '[m/s']]]-$C$64</f>
        <v>-3</v>
      </c>
    </row>
    <row r="72" spans="1:6" x14ac:dyDescent="0.25">
      <c r="A72" t="s">
        <v>83</v>
      </c>
      <c r="B72">
        <v>2.9</v>
      </c>
      <c r="C72">
        <v>1</v>
      </c>
      <c r="D72" t="s">
        <v>24</v>
      </c>
      <c r="E72">
        <f>Tabulka2[[#This Row],[Teplota '[°C']]]-$B$64</f>
        <v>1.4</v>
      </c>
      <c r="F72">
        <f>Tabulka2[[#This Row],[Rychlost větru '[m/s']]]-$C$64</f>
        <v>-4</v>
      </c>
    </row>
    <row r="73" spans="1:6" x14ac:dyDescent="0.25">
      <c r="A73" t="s">
        <v>84</v>
      </c>
      <c r="B73">
        <v>-3.1</v>
      </c>
      <c r="C73">
        <v>3</v>
      </c>
      <c r="D73" t="s">
        <v>10</v>
      </c>
      <c r="E73">
        <f>Tabulka2[[#This Row],[Teplota '[°C']]]-$B$64</f>
        <v>-4.5999999999999996</v>
      </c>
      <c r="F73">
        <f>Tabulka2[[#This Row],[Rychlost větru '[m/s']]]-$C$64</f>
        <v>-2</v>
      </c>
    </row>
    <row r="74" spans="1:6" x14ac:dyDescent="0.25">
      <c r="A74" t="s">
        <v>85</v>
      </c>
      <c r="B74">
        <v>0.4</v>
      </c>
      <c r="C74">
        <v>1</v>
      </c>
      <c r="D74" t="s">
        <v>24</v>
      </c>
      <c r="E74">
        <f>Tabulka2[[#This Row],[Teplota '[°C']]]-$B$64</f>
        <v>-1.1000000000000001</v>
      </c>
      <c r="F74">
        <f>Tabulka2[[#This Row],[Rychlost větru '[m/s']]]-$C$64</f>
        <v>-4</v>
      </c>
    </row>
    <row r="75" spans="1:6" x14ac:dyDescent="0.25">
      <c r="A75" t="s">
        <v>86</v>
      </c>
      <c r="B75">
        <v>0.7</v>
      </c>
      <c r="C75">
        <v>2</v>
      </c>
      <c r="D75" t="s">
        <v>48</v>
      </c>
      <c r="E75">
        <f>Tabulka2[[#This Row],[Teplota '[°C']]]-$B$64</f>
        <v>-0.8</v>
      </c>
      <c r="F75">
        <f>Tabulka2[[#This Row],[Rychlost větru '[m/s']]]-$C$64</f>
        <v>-3</v>
      </c>
    </row>
    <row r="76" spans="1:6" x14ac:dyDescent="0.25">
      <c r="A76" t="s">
        <v>87</v>
      </c>
      <c r="B76">
        <v>21</v>
      </c>
      <c r="C76">
        <v>5</v>
      </c>
      <c r="D76" t="s">
        <v>10</v>
      </c>
      <c r="E76">
        <f>Tabulka2[[#This Row],[Teplota '[°C']]]-$B$64</f>
        <v>19.5</v>
      </c>
      <c r="F76">
        <f>Tabulka2[[#This Row],[Rychlost větru '[m/s']]]-$C$64</f>
        <v>0</v>
      </c>
    </row>
    <row r="77" spans="1:6" x14ac:dyDescent="0.25">
      <c r="A77" t="s">
        <v>88</v>
      </c>
      <c r="B77">
        <v>-0.1</v>
      </c>
      <c r="C77">
        <v>8</v>
      </c>
      <c r="D77" t="s">
        <v>8</v>
      </c>
      <c r="E77">
        <f>Tabulka2[[#This Row],[Teplota '[°C']]]-$B$64</f>
        <v>-1.6</v>
      </c>
      <c r="F77">
        <f>Tabulka2[[#This Row],[Rychlost větru '[m/s']]]-$C$64</f>
        <v>3</v>
      </c>
    </row>
    <row r="78" spans="1:6" x14ac:dyDescent="0.25">
      <c r="A78" t="s">
        <v>89</v>
      </c>
      <c r="B78">
        <v>20.3</v>
      </c>
      <c r="C78">
        <v>2</v>
      </c>
      <c r="D78" t="s">
        <v>24</v>
      </c>
      <c r="E78">
        <f>Tabulka2[[#This Row],[Teplota '[°C']]]-$B$64</f>
        <v>18.8</v>
      </c>
      <c r="F78">
        <f>Tabulka2[[#This Row],[Rychlost větru '[m/s']]]-$C$64</f>
        <v>-3</v>
      </c>
    </row>
    <row r="79" spans="1:6" x14ac:dyDescent="0.25">
      <c r="A79" t="s">
        <v>90</v>
      </c>
      <c r="B79">
        <v>9.3000000000000007</v>
      </c>
      <c r="C79">
        <v>6</v>
      </c>
      <c r="D79" t="s">
        <v>24</v>
      </c>
      <c r="E79">
        <f>Tabulka2[[#This Row],[Teplota '[°C']]]-$B$64</f>
        <v>7.8000000000000007</v>
      </c>
      <c r="F79">
        <f>Tabulka2[[#This Row],[Rychlost větru '[m/s']]]-$C$64</f>
        <v>1</v>
      </c>
    </row>
    <row r="80" spans="1:6" x14ac:dyDescent="0.25">
      <c r="A80" t="s">
        <v>91</v>
      </c>
      <c r="B80">
        <v>2.9</v>
      </c>
      <c r="C80">
        <v>6</v>
      </c>
      <c r="D80" t="s">
        <v>10</v>
      </c>
      <c r="E80">
        <f>Tabulka2[[#This Row],[Teplota '[°C']]]-$B$64</f>
        <v>1.4</v>
      </c>
      <c r="F80">
        <f>Tabulka2[[#This Row],[Rychlost větru '[m/s']]]-$C$64</f>
        <v>1</v>
      </c>
    </row>
    <row r="81" spans="1:6" x14ac:dyDescent="0.25">
      <c r="A81" t="s">
        <v>92</v>
      </c>
      <c r="B81">
        <v>-5.9</v>
      </c>
      <c r="C81">
        <v>2</v>
      </c>
      <c r="D81" t="s">
        <v>14</v>
      </c>
      <c r="E81">
        <f>Tabulka2[[#This Row],[Teplota '[°C']]]-$B$64</f>
        <v>-7.4</v>
      </c>
      <c r="F81">
        <f>Tabulka2[[#This Row],[Rychlost větru '[m/s']]]-$C$64</f>
        <v>-3</v>
      </c>
    </row>
    <row r="82" spans="1:6" x14ac:dyDescent="0.25">
      <c r="A82" t="s">
        <v>93</v>
      </c>
      <c r="B82">
        <v>1.8</v>
      </c>
      <c r="C82">
        <v>5</v>
      </c>
      <c r="D82" t="s">
        <v>8</v>
      </c>
      <c r="E82">
        <f>Tabulka2[[#This Row],[Teplota '[°C']]]-$B$64</f>
        <v>0.30000000000000004</v>
      </c>
      <c r="F82">
        <f>Tabulka2[[#This Row],[Rychlost větru '[m/s']]]-$C$64</f>
        <v>0</v>
      </c>
    </row>
    <row r="83" spans="1:6" x14ac:dyDescent="0.25">
      <c r="A83" t="s">
        <v>94</v>
      </c>
      <c r="B83">
        <v>2.2999999999999998</v>
      </c>
      <c r="C83">
        <v>2</v>
      </c>
      <c r="D83" t="s">
        <v>8</v>
      </c>
      <c r="E83">
        <f>Tabulka2[[#This Row],[Teplota '[°C']]]-$B$64</f>
        <v>0.79999999999999982</v>
      </c>
      <c r="F83">
        <f>Tabulka2[[#This Row],[Rychlost větru '[m/s']]]-$C$64</f>
        <v>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334-0243-4CFA-9BBC-03BC6892E470}">
  <dimension ref="A1:L46"/>
  <sheetViews>
    <sheetView topLeftCell="A32" workbookViewId="0">
      <selection activeCell="B37" sqref="B37"/>
    </sheetView>
  </sheetViews>
  <sheetFormatPr defaultRowHeight="15" x14ac:dyDescent="0.25"/>
  <cols>
    <col min="1" max="1" width="40.28515625" customWidth="1"/>
    <col min="2" max="2" width="11.42578125" bestFit="1" customWidth="1"/>
    <col min="3" max="3" width="9.42578125" bestFit="1" customWidth="1"/>
    <col min="4" max="4" width="10.42578125" bestFit="1" customWidth="1"/>
    <col min="7" max="7" width="9.140625" customWidth="1"/>
  </cols>
  <sheetData>
    <row r="1" spans="1:12" ht="23.25" x14ac:dyDescent="0.35">
      <c r="A1" s="6" t="s">
        <v>95</v>
      </c>
    </row>
    <row r="3" spans="1:12" x14ac:dyDescent="0.25">
      <c r="A3" t="s">
        <v>96</v>
      </c>
      <c r="B3" t="s">
        <v>97</v>
      </c>
      <c r="C3" t="s">
        <v>98</v>
      </c>
      <c r="D3" t="s">
        <v>99</v>
      </c>
      <c r="G3" s="14" t="s">
        <v>100</v>
      </c>
      <c r="H3" s="14"/>
      <c r="I3" s="14"/>
      <c r="L3" t="s">
        <v>101</v>
      </c>
    </row>
    <row r="4" spans="1:12" x14ac:dyDescent="0.25">
      <c r="A4" t="s">
        <v>102</v>
      </c>
      <c r="B4" s="12">
        <v>2.5</v>
      </c>
      <c r="C4" s="5">
        <f>Tabulka3[[#This Row],[EUR]]*$H$6</f>
        <v>2.2250000000000001</v>
      </c>
      <c r="D4" s="5">
        <f>Tabulka3[[#This Row],[EUR]]*$H$4</f>
        <v>59.375</v>
      </c>
      <c r="G4" s="1" t="s">
        <v>103</v>
      </c>
      <c r="H4" s="1">
        <v>23.75</v>
      </c>
      <c r="I4" s="1" t="s">
        <v>99</v>
      </c>
    </row>
    <row r="5" spans="1:12" x14ac:dyDescent="0.25">
      <c r="A5" t="s">
        <v>104</v>
      </c>
      <c r="B5" s="12">
        <v>2.2000000000000002</v>
      </c>
      <c r="C5" s="5">
        <f>Tabulka3[[#This Row],[EUR]]*$H$6</f>
        <v>1.9580000000000002</v>
      </c>
      <c r="D5" s="5">
        <f>Tabulka3[[#This Row],[EUR]]*$H$4</f>
        <v>52.250000000000007</v>
      </c>
      <c r="G5" s="2" t="s">
        <v>105</v>
      </c>
      <c r="H5" s="2">
        <v>26.72</v>
      </c>
      <c r="I5" t="s">
        <v>99</v>
      </c>
    </row>
    <row r="6" spans="1:12" x14ac:dyDescent="0.25">
      <c r="A6" t="s">
        <v>106</v>
      </c>
      <c r="B6" s="12">
        <v>20</v>
      </c>
      <c r="C6" s="5">
        <f>Tabulka3[[#This Row],[EUR]]*$H$6</f>
        <v>17.8</v>
      </c>
      <c r="D6" s="5">
        <f>Tabulka3[[#This Row],[EUR]]*$H$4</f>
        <v>475</v>
      </c>
      <c r="G6" s="1" t="s">
        <v>103</v>
      </c>
      <c r="H6" s="1">
        <v>0.89</v>
      </c>
      <c r="I6" s="1" t="s">
        <v>98</v>
      </c>
    </row>
    <row r="7" spans="1:12" x14ac:dyDescent="0.25">
      <c r="A7" t="s">
        <v>107</v>
      </c>
      <c r="B7" s="12">
        <v>9</v>
      </c>
      <c r="C7" s="5">
        <f>Tabulka3[[#This Row],[EUR]]*$H$6</f>
        <v>8.01</v>
      </c>
      <c r="D7" s="5">
        <f>Tabulka3[[#This Row],[EUR]]*$H$4</f>
        <v>213.75</v>
      </c>
    </row>
    <row r="8" spans="1:12" x14ac:dyDescent="0.25">
      <c r="A8" t="s">
        <v>108</v>
      </c>
      <c r="B8" s="12">
        <v>0.9</v>
      </c>
      <c r="C8" s="5">
        <f>Tabulka3[[#This Row],[EUR]]*$H$6</f>
        <v>0.80100000000000005</v>
      </c>
      <c r="D8" s="5">
        <f>Tabulka3[[#This Row],[EUR]]*$H$4</f>
        <v>21.375</v>
      </c>
    </row>
    <row r="9" spans="1:12" x14ac:dyDescent="0.25">
      <c r="A9" t="s">
        <v>109</v>
      </c>
      <c r="B9" s="12">
        <v>7.6</v>
      </c>
      <c r="C9" s="5">
        <f>Tabulka3[[#This Row],[EUR]]*$H$6</f>
        <v>6.7639999999999993</v>
      </c>
      <c r="D9" s="5">
        <f>Tabulka3[[#This Row],[EUR]]*$H$4</f>
        <v>180.5</v>
      </c>
    </row>
    <row r="10" spans="1:12" x14ac:dyDescent="0.25">
      <c r="A10" t="s">
        <v>110</v>
      </c>
      <c r="B10" s="12">
        <v>1.5</v>
      </c>
      <c r="C10" s="5">
        <f>Tabulka3[[#This Row],[EUR]]*$H$6</f>
        <v>1.335</v>
      </c>
      <c r="D10" s="5">
        <f>Tabulka3[[#This Row],[EUR]]*$H$4</f>
        <v>35.625</v>
      </c>
    </row>
    <row r="11" spans="1:12" x14ac:dyDescent="0.25">
      <c r="A11" t="s">
        <v>111</v>
      </c>
      <c r="B11" s="12">
        <v>1.7</v>
      </c>
      <c r="C11" s="5">
        <f>Tabulka3[[#This Row],[EUR]]*$H$6</f>
        <v>1.5129999999999999</v>
      </c>
      <c r="D11" s="5">
        <f>Tabulka3[[#This Row],[EUR]]*$H$4</f>
        <v>40.375</v>
      </c>
    </row>
    <row r="12" spans="1:12" x14ac:dyDescent="0.25">
      <c r="A12" t="s">
        <v>112</v>
      </c>
      <c r="B12" s="12">
        <v>2.1</v>
      </c>
      <c r="C12" s="5">
        <f>Tabulka3[[#This Row],[EUR]]*$H$6</f>
        <v>1.8690000000000002</v>
      </c>
      <c r="D12" s="5">
        <f>Tabulka3[[#This Row],[EUR]]*$H$4</f>
        <v>49.875</v>
      </c>
    </row>
    <row r="13" spans="1:12" x14ac:dyDescent="0.25">
      <c r="A13" t="s">
        <v>113</v>
      </c>
      <c r="B13" s="12">
        <v>2.7</v>
      </c>
      <c r="C13" s="5">
        <f>Tabulka3[[#This Row],[EUR]]*$H$6</f>
        <v>2.403</v>
      </c>
      <c r="D13" s="5">
        <f>Tabulka3[[#This Row],[EUR]]*$H$4</f>
        <v>64.125</v>
      </c>
    </row>
    <row r="14" spans="1:12" x14ac:dyDescent="0.25">
      <c r="A14" t="s">
        <v>114</v>
      </c>
      <c r="B14" s="12">
        <v>3</v>
      </c>
      <c r="C14" s="5">
        <f>Tabulka3[[#This Row],[EUR]]*$H$6</f>
        <v>2.67</v>
      </c>
      <c r="D14" s="5">
        <f>Tabulka3[[#This Row],[EUR]]*$H$4</f>
        <v>71.25</v>
      </c>
    </row>
    <row r="17" spans="1:4" ht="23.25" x14ac:dyDescent="0.35">
      <c r="A17" s="6" t="s">
        <v>115</v>
      </c>
    </row>
    <row r="19" spans="1:4" x14ac:dyDescent="0.25">
      <c r="A19" t="s">
        <v>96</v>
      </c>
      <c r="B19" t="s">
        <v>97</v>
      </c>
      <c r="C19" t="s">
        <v>98</v>
      </c>
      <c r="D19" t="s">
        <v>99</v>
      </c>
    </row>
    <row r="20" spans="1:4" x14ac:dyDescent="0.25">
      <c r="A20" t="s">
        <v>102</v>
      </c>
      <c r="B20" s="12">
        <f>Tabulka36[[#This Row],[Kč]]/$H$4</f>
        <v>3.0826442105263157</v>
      </c>
      <c r="C20" s="13">
        <v>2.74</v>
      </c>
      <c r="D20" s="5">
        <f>Tabulka36[[#This Row],[GBP]]*$H$5</f>
        <v>73.212800000000001</v>
      </c>
    </row>
    <row r="21" spans="1:4" x14ac:dyDescent="0.25">
      <c r="A21" t="s">
        <v>104</v>
      </c>
      <c r="B21" s="12">
        <f>Tabulka36[[#This Row],[Kč]]/$H$4</f>
        <v>2.2163536842105263</v>
      </c>
      <c r="C21" s="13">
        <v>1.97</v>
      </c>
      <c r="D21" s="5">
        <f>Tabulka36[[#This Row],[GBP]]*$H$5</f>
        <v>52.638399999999997</v>
      </c>
    </row>
    <row r="22" spans="1:4" x14ac:dyDescent="0.25">
      <c r="A22" t="s">
        <v>106</v>
      </c>
      <c r="B22" s="12">
        <f>Tabulka36[[#This Row],[Kč]]/$H$4</f>
        <v>27.001263157894737</v>
      </c>
      <c r="C22" s="13">
        <v>24</v>
      </c>
      <c r="D22" s="5">
        <f>Tabulka36[[#This Row],[GBP]]*$H$5</f>
        <v>641.28</v>
      </c>
    </row>
    <row r="23" spans="1:4" x14ac:dyDescent="0.25">
      <c r="A23" t="s">
        <v>107</v>
      </c>
      <c r="B23" s="12">
        <f>Tabulka36[[#This Row],[Kč]]/$H$4</f>
        <v>14.51317894736842</v>
      </c>
      <c r="C23" s="13">
        <v>12.9</v>
      </c>
      <c r="D23" s="5">
        <f>Tabulka36[[#This Row],[GBP]]*$H$5</f>
        <v>344.68799999999999</v>
      </c>
    </row>
    <row r="24" spans="1:4" x14ac:dyDescent="0.25">
      <c r="A24" t="s">
        <v>108</v>
      </c>
      <c r="B24" s="12">
        <f>Tabulka36[[#This Row],[Kč]]/$H$4</f>
        <v>0.96754526315789469</v>
      </c>
      <c r="C24" s="13">
        <v>0.86</v>
      </c>
      <c r="D24" s="5">
        <f>Tabulka36[[#This Row],[GBP]]*$H$5</f>
        <v>22.979199999999999</v>
      </c>
    </row>
    <row r="25" spans="1:4" x14ac:dyDescent="0.25">
      <c r="A25" t="s">
        <v>109</v>
      </c>
      <c r="B25" s="12">
        <f>Tabulka36[[#This Row],[Kč]]/$H$4</f>
        <v>6.7390652631578947</v>
      </c>
      <c r="C25" s="13">
        <v>5.99</v>
      </c>
      <c r="D25" s="5">
        <f>Tabulka36[[#This Row],[GBP]]*$H$5</f>
        <v>160.05279999999999</v>
      </c>
    </row>
    <row r="26" spans="1:4" x14ac:dyDescent="0.25">
      <c r="A26" t="s">
        <v>110</v>
      </c>
      <c r="B26" s="12">
        <f>Tabulka36[[#This Row],[Kč]]/$H$4</f>
        <v>1.6425768421052629</v>
      </c>
      <c r="C26" s="13">
        <v>1.46</v>
      </c>
      <c r="D26" s="5">
        <f>Tabulka36[[#This Row],[GBP]]*$H$5</f>
        <v>39.011199999999995</v>
      </c>
    </row>
    <row r="27" spans="1:4" x14ac:dyDescent="0.25">
      <c r="A27" t="s">
        <v>111</v>
      </c>
      <c r="B27" s="12">
        <f>Tabulka36[[#This Row],[Kč]]/$H$4</f>
        <v>2.2163536842105263</v>
      </c>
      <c r="C27" s="13">
        <v>1.97</v>
      </c>
      <c r="D27" s="5">
        <f>Tabulka36[[#This Row],[GBP]]*$H$5</f>
        <v>52.638399999999997</v>
      </c>
    </row>
    <row r="28" spans="1:4" x14ac:dyDescent="0.25">
      <c r="A28" t="s">
        <v>112</v>
      </c>
      <c r="B28" s="12">
        <f>Tabulka36[[#This Row],[Kč]]/$H$4</f>
        <v>2.4751157894736844</v>
      </c>
      <c r="C28" s="13">
        <v>2.2000000000000002</v>
      </c>
      <c r="D28" s="5">
        <f>Tabulka36[[#This Row],[GBP]]*$H$5</f>
        <v>58.783999999999999</v>
      </c>
    </row>
    <row r="29" spans="1:4" x14ac:dyDescent="0.25">
      <c r="A29" t="s">
        <v>113</v>
      </c>
      <c r="B29" s="12">
        <f>Tabulka36[[#This Row],[Kč]]/$H$4</f>
        <v>4.331452631578947</v>
      </c>
      <c r="C29" s="13">
        <v>3.85</v>
      </c>
      <c r="D29" s="5">
        <f>Tabulka36[[#This Row],[GBP]]*$H$5</f>
        <v>102.872</v>
      </c>
    </row>
    <row r="30" spans="1:4" x14ac:dyDescent="0.25">
      <c r="A30" t="s">
        <v>114</v>
      </c>
      <c r="B30" s="12">
        <f>Tabulka36[[#This Row],[Kč]]/$H$4</f>
        <v>4.038938947368421</v>
      </c>
      <c r="C30" s="13">
        <v>3.59</v>
      </c>
      <c r="D30" s="5">
        <f>Tabulka36[[#This Row],[GBP]]*$H$5</f>
        <v>95.924799999999991</v>
      </c>
    </row>
    <row r="33" spans="1:4" ht="23.25" x14ac:dyDescent="0.35">
      <c r="A33" s="6" t="s">
        <v>116</v>
      </c>
    </row>
    <row r="35" spans="1:4" x14ac:dyDescent="0.25">
      <c r="A35" t="s">
        <v>96</v>
      </c>
      <c r="B35" t="s">
        <v>97</v>
      </c>
      <c r="C35" t="s">
        <v>98</v>
      </c>
      <c r="D35" t="s">
        <v>99</v>
      </c>
    </row>
    <row r="36" spans="1:4" x14ac:dyDescent="0.25">
      <c r="A36" t="s">
        <v>102</v>
      </c>
      <c r="B36" s="12">
        <f>Tabulka37[[#This Row],[Kč]]/$H$4</f>
        <v>1.6</v>
      </c>
      <c r="C36" s="5">
        <f>Tabulka37[[#This Row],[Kč]]/$H$5</f>
        <v>1.4221556886227547</v>
      </c>
      <c r="D36" s="11">
        <v>38</v>
      </c>
    </row>
    <row r="37" spans="1:4" x14ac:dyDescent="0.25">
      <c r="A37" t="s">
        <v>104</v>
      </c>
      <c r="B37" s="12">
        <f>Tabulka37[[#This Row],[Kč]]/$H$4</f>
        <v>1.1789473684210525</v>
      </c>
      <c r="C37" s="5">
        <f>Tabulka37[[#This Row],[Kč]]/$H$5</f>
        <v>1.0479041916167664</v>
      </c>
      <c r="D37" s="11">
        <v>28</v>
      </c>
    </row>
    <row r="38" spans="1:4" x14ac:dyDescent="0.25">
      <c r="A38" t="s">
        <v>106</v>
      </c>
      <c r="B38" s="12">
        <f>Tabulka37[[#This Row],[Kč]]/$H$4</f>
        <v>9.8947368421052637</v>
      </c>
      <c r="C38" s="5">
        <f>Tabulka37[[#This Row],[Kč]]/$H$5</f>
        <v>8.7949101796407181</v>
      </c>
      <c r="D38" s="11">
        <v>235</v>
      </c>
    </row>
    <row r="39" spans="1:4" x14ac:dyDescent="0.25">
      <c r="A39" t="s">
        <v>107</v>
      </c>
      <c r="B39" s="12">
        <f>Tabulka37[[#This Row],[Kč]]/$H$4</f>
        <v>3.9578947368421051</v>
      </c>
      <c r="C39" s="5">
        <f>Tabulka37[[#This Row],[Kč]]/$H$5</f>
        <v>3.5179640718562877</v>
      </c>
      <c r="D39" s="11">
        <v>94</v>
      </c>
    </row>
    <row r="40" spans="1:4" x14ac:dyDescent="0.25">
      <c r="A40" t="s">
        <v>108</v>
      </c>
      <c r="B40" s="12">
        <f>Tabulka37[[#This Row],[Kč]]/$H$4</f>
        <v>0.75789473684210529</v>
      </c>
      <c r="C40" s="5">
        <f>Tabulka37[[#This Row],[Kč]]/$H$5</f>
        <v>0.67365269461077848</v>
      </c>
      <c r="D40" s="11">
        <v>18</v>
      </c>
    </row>
    <row r="41" spans="1:4" x14ac:dyDescent="0.25">
      <c r="A41" t="s">
        <v>109</v>
      </c>
      <c r="B41" s="12">
        <f>Tabulka37[[#This Row],[Kč]]/$H$4</f>
        <v>3.4526315789473685</v>
      </c>
      <c r="C41" s="5">
        <f>Tabulka37[[#This Row],[Kč]]/$H$5</f>
        <v>3.068862275449102</v>
      </c>
      <c r="D41" s="11">
        <v>82</v>
      </c>
    </row>
    <row r="42" spans="1:4" x14ac:dyDescent="0.25">
      <c r="A42" t="s">
        <v>110</v>
      </c>
      <c r="B42" s="12">
        <f>Tabulka37[[#This Row],[Kč]]/$H$4</f>
        <v>1.1789473684210525</v>
      </c>
      <c r="C42" s="5">
        <f>Tabulka37[[#This Row],[Kč]]/$H$5</f>
        <v>1.0479041916167664</v>
      </c>
      <c r="D42" s="11">
        <v>28</v>
      </c>
    </row>
    <row r="43" spans="1:4" x14ac:dyDescent="0.25">
      <c r="A43" t="s">
        <v>111</v>
      </c>
      <c r="B43" s="12">
        <f>Tabulka37[[#This Row],[Kč]]/$H$4</f>
        <v>1.5157894736842106</v>
      </c>
      <c r="C43" s="5">
        <f>Tabulka37[[#This Row],[Kč]]/$H$5</f>
        <v>1.347305389221557</v>
      </c>
      <c r="D43" s="11">
        <v>36</v>
      </c>
    </row>
    <row r="44" spans="1:4" x14ac:dyDescent="0.25">
      <c r="A44" t="s">
        <v>112</v>
      </c>
      <c r="B44" s="12">
        <f>Tabulka37[[#This Row],[Kč]]/$H$4</f>
        <v>1.6</v>
      </c>
      <c r="C44" s="5">
        <f>Tabulka37[[#This Row],[Kč]]/$H$5</f>
        <v>1.4221556886227547</v>
      </c>
      <c r="D44" s="11">
        <v>38</v>
      </c>
    </row>
    <row r="45" spans="1:4" x14ac:dyDescent="0.25">
      <c r="A45" t="s">
        <v>113</v>
      </c>
      <c r="B45" s="12">
        <f>Tabulka37[[#This Row],[Kč]]/$H$4</f>
        <v>1.0947368421052632</v>
      </c>
      <c r="C45" s="5">
        <f>Tabulka37[[#This Row],[Kč]]/$H$5</f>
        <v>0.97305389221556893</v>
      </c>
      <c r="D45" s="11">
        <v>26</v>
      </c>
    </row>
    <row r="46" spans="1:4" x14ac:dyDescent="0.25">
      <c r="A46" t="s">
        <v>114</v>
      </c>
      <c r="B46" s="12">
        <f>Tabulka37[[#This Row],[Kč]]/$H$4</f>
        <v>1.3894736842105264</v>
      </c>
      <c r="C46" s="5">
        <f>Tabulka37[[#This Row],[Kč]]/$H$5</f>
        <v>1.2350299401197606</v>
      </c>
      <c r="D46" s="11">
        <v>33</v>
      </c>
    </row>
  </sheetData>
  <mergeCells count="1">
    <mergeCell ref="G3:I3"/>
  </mergeCells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2215-4251-43FA-AD6E-A99EF80FE594}">
  <dimension ref="A1:R21"/>
  <sheetViews>
    <sheetView workbookViewId="0">
      <selection activeCell="AC34" sqref="AC6:AE34"/>
    </sheetView>
  </sheetViews>
  <sheetFormatPr defaultRowHeight="15" x14ac:dyDescent="0.25"/>
  <sheetData>
    <row r="1" spans="1:18" ht="23.25" x14ac:dyDescent="0.35">
      <c r="A1" s="6" t="s">
        <v>117</v>
      </c>
    </row>
    <row r="3" spans="1:18" x14ac:dyDescent="0.25">
      <c r="A3" s="8"/>
      <c r="B3" s="16" t="s">
        <v>118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x14ac:dyDescent="0.25">
      <c r="A4" s="15" t="s">
        <v>119</v>
      </c>
      <c r="B4" s="9"/>
      <c r="C4" s="9">
        <v>5</v>
      </c>
      <c r="D4" s="9">
        <v>6</v>
      </c>
      <c r="E4" s="9">
        <v>7</v>
      </c>
      <c r="F4" s="9">
        <v>8</v>
      </c>
      <c r="G4" s="9">
        <v>9</v>
      </c>
      <c r="H4" s="9">
        <v>10</v>
      </c>
      <c r="I4" s="9">
        <v>11</v>
      </c>
      <c r="J4" s="9">
        <v>12</v>
      </c>
      <c r="K4" s="9">
        <v>13</v>
      </c>
      <c r="L4" s="9">
        <v>14</v>
      </c>
      <c r="M4" s="9">
        <v>15</v>
      </c>
      <c r="N4" s="9">
        <v>16</v>
      </c>
      <c r="O4" s="9">
        <v>17</v>
      </c>
      <c r="P4" s="9">
        <v>18</v>
      </c>
      <c r="Q4" s="9">
        <v>19</v>
      </c>
      <c r="R4" s="9">
        <v>20</v>
      </c>
    </row>
    <row r="5" spans="1:18" x14ac:dyDescent="0.25">
      <c r="A5" s="15"/>
      <c r="B5" s="9">
        <v>5</v>
      </c>
      <c r="C5" s="7">
        <f>$B$5*C4</f>
        <v>25</v>
      </c>
      <c r="D5" s="7">
        <f t="shared" ref="D5:R5" si="0">$B$5*D4</f>
        <v>30</v>
      </c>
      <c r="E5" s="7">
        <f t="shared" si="0"/>
        <v>35</v>
      </c>
      <c r="F5" s="7">
        <f t="shared" si="0"/>
        <v>40</v>
      </c>
      <c r="G5" s="7">
        <f t="shared" si="0"/>
        <v>45</v>
      </c>
      <c r="H5" s="7">
        <f t="shared" si="0"/>
        <v>50</v>
      </c>
      <c r="I5" s="7">
        <f t="shared" si="0"/>
        <v>55</v>
      </c>
      <c r="J5" s="7">
        <f t="shared" si="0"/>
        <v>60</v>
      </c>
      <c r="K5" s="7">
        <f t="shared" si="0"/>
        <v>65</v>
      </c>
      <c r="L5" s="7">
        <f t="shared" si="0"/>
        <v>70</v>
      </c>
      <c r="M5" s="7">
        <f t="shared" si="0"/>
        <v>75</v>
      </c>
      <c r="N5" s="7">
        <f t="shared" si="0"/>
        <v>80</v>
      </c>
      <c r="O5" s="7">
        <f t="shared" si="0"/>
        <v>85</v>
      </c>
      <c r="P5" s="7">
        <f t="shared" si="0"/>
        <v>90</v>
      </c>
      <c r="Q5" s="7">
        <f t="shared" si="0"/>
        <v>95</v>
      </c>
      <c r="R5" s="7">
        <f t="shared" si="0"/>
        <v>100</v>
      </c>
    </row>
    <row r="6" spans="1:18" x14ac:dyDescent="0.25">
      <c r="A6" s="15"/>
      <c r="B6" s="9">
        <v>6</v>
      </c>
      <c r="C6" s="10">
        <f>$B$6*C4</f>
        <v>30</v>
      </c>
      <c r="D6" s="10">
        <f t="shared" ref="D6:R6" si="1">$B$6*D4</f>
        <v>36</v>
      </c>
      <c r="E6" s="10">
        <f t="shared" si="1"/>
        <v>42</v>
      </c>
      <c r="F6" s="10">
        <f t="shared" si="1"/>
        <v>48</v>
      </c>
      <c r="G6" s="10">
        <f t="shared" si="1"/>
        <v>54</v>
      </c>
      <c r="H6" s="10">
        <f t="shared" si="1"/>
        <v>60</v>
      </c>
      <c r="I6" s="10">
        <f t="shared" si="1"/>
        <v>66</v>
      </c>
      <c r="J6" s="10">
        <f t="shared" si="1"/>
        <v>72</v>
      </c>
      <c r="K6" s="10">
        <f t="shared" si="1"/>
        <v>78</v>
      </c>
      <c r="L6" s="10">
        <f t="shared" si="1"/>
        <v>84</v>
      </c>
      <c r="M6" s="10">
        <f t="shared" si="1"/>
        <v>90</v>
      </c>
      <c r="N6" s="10">
        <f t="shared" si="1"/>
        <v>96</v>
      </c>
      <c r="O6" s="10">
        <f t="shared" si="1"/>
        <v>102</v>
      </c>
      <c r="P6" s="10">
        <f t="shared" si="1"/>
        <v>108</v>
      </c>
      <c r="Q6" s="10">
        <f t="shared" si="1"/>
        <v>114</v>
      </c>
      <c r="R6" s="10">
        <f t="shared" si="1"/>
        <v>120</v>
      </c>
    </row>
    <row r="7" spans="1:18" x14ac:dyDescent="0.25">
      <c r="A7" s="15"/>
      <c r="B7" s="9">
        <v>7</v>
      </c>
      <c r="C7" s="7">
        <f>$B$7*C4</f>
        <v>35</v>
      </c>
      <c r="D7" s="7">
        <f t="shared" ref="D7:R7" si="2">$B$7*D4</f>
        <v>42</v>
      </c>
      <c r="E7" s="7">
        <f t="shared" si="2"/>
        <v>49</v>
      </c>
      <c r="F7" s="7">
        <f t="shared" si="2"/>
        <v>56</v>
      </c>
      <c r="G7" s="7">
        <f t="shared" si="2"/>
        <v>63</v>
      </c>
      <c r="H7" s="7">
        <f t="shared" si="2"/>
        <v>70</v>
      </c>
      <c r="I7" s="7">
        <f t="shared" si="2"/>
        <v>77</v>
      </c>
      <c r="J7" s="7">
        <f t="shared" si="2"/>
        <v>84</v>
      </c>
      <c r="K7" s="7">
        <f t="shared" si="2"/>
        <v>91</v>
      </c>
      <c r="L7" s="7">
        <f t="shared" si="2"/>
        <v>98</v>
      </c>
      <c r="M7" s="7">
        <f t="shared" si="2"/>
        <v>105</v>
      </c>
      <c r="N7" s="7">
        <f t="shared" si="2"/>
        <v>112</v>
      </c>
      <c r="O7" s="7">
        <f t="shared" si="2"/>
        <v>119</v>
      </c>
      <c r="P7" s="7">
        <f t="shared" si="2"/>
        <v>126</v>
      </c>
      <c r="Q7" s="7">
        <f t="shared" si="2"/>
        <v>133</v>
      </c>
      <c r="R7" s="7">
        <f t="shared" si="2"/>
        <v>140</v>
      </c>
    </row>
    <row r="8" spans="1:18" x14ac:dyDescent="0.25">
      <c r="A8" s="15"/>
      <c r="B8" s="9">
        <v>8</v>
      </c>
      <c r="C8" s="10">
        <f>$B$8*C4</f>
        <v>40</v>
      </c>
      <c r="D8" s="10">
        <f t="shared" ref="D8:R8" si="3">$B$8*D4</f>
        <v>48</v>
      </c>
      <c r="E8" s="10">
        <f t="shared" si="3"/>
        <v>56</v>
      </c>
      <c r="F8" s="10">
        <f t="shared" si="3"/>
        <v>64</v>
      </c>
      <c r="G8" s="10">
        <f t="shared" si="3"/>
        <v>72</v>
      </c>
      <c r="H8" s="10">
        <f t="shared" si="3"/>
        <v>80</v>
      </c>
      <c r="I8" s="10">
        <f t="shared" si="3"/>
        <v>88</v>
      </c>
      <c r="J8" s="10">
        <f t="shared" si="3"/>
        <v>96</v>
      </c>
      <c r="K8" s="10">
        <f t="shared" si="3"/>
        <v>104</v>
      </c>
      <c r="L8" s="10">
        <f t="shared" si="3"/>
        <v>112</v>
      </c>
      <c r="M8" s="10">
        <f t="shared" si="3"/>
        <v>120</v>
      </c>
      <c r="N8" s="10">
        <f t="shared" si="3"/>
        <v>128</v>
      </c>
      <c r="O8" s="10">
        <f t="shared" si="3"/>
        <v>136</v>
      </c>
      <c r="P8" s="10">
        <f t="shared" si="3"/>
        <v>144</v>
      </c>
      <c r="Q8" s="10">
        <f t="shared" si="3"/>
        <v>152</v>
      </c>
      <c r="R8" s="10">
        <f t="shared" si="3"/>
        <v>160</v>
      </c>
    </row>
    <row r="9" spans="1:18" x14ac:dyDescent="0.25">
      <c r="A9" s="15"/>
      <c r="B9" s="9">
        <v>9</v>
      </c>
      <c r="C9" s="7">
        <f>$B$9*C4</f>
        <v>45</v>
      </c>
      <c r="D9" s="7">
        <f t="shared" ref="D9:R9" si="4">$B$9*D4</f>
        <v>54</v>
      </c>
      <c r="E9" s="7">
        <f t="shared" si="4"/>
        <v>63</v>
      </c>
      <c r="F9" s="7">
        <f t="shared" si="4"/>
        <v>72</v>
      </c>
      <c r="G9" s="7">
        <f t="shared" si="4"/>
        <v>81</v>
      </c>
      <c r="H9" s="7">
        <f t="shared" si="4"/>
        <v>90</v>
      </c>
      <c r="I9" s="7">
        <f t="shared" si="4"/>
        <v>99</v>
      </c>
      <c r="J9" s="7">
        <f t="shared" si="4"/>
        <v>108</v>
      </c>
      <c r="K9" s="7">
        <f t="shared" si="4"/>
        <v>117</v>
      </c>
      <c r="L9" s="7">
        <f t="shared" si="4"/>
        <v>126</v>
      </c>
      <c r="M9" s="7">
        <f t="shared" si="4"/>
        <v>135</v>
      </c>
      <c r="N9" s="7">
        <f t="shared" si="4"/>
        <v>144</v>
      </c>
      <c r="O9" s="7">
        <f t="shared" si="4"/>
        <v>153</v>
      </c>
      <c r="P9" s="7">
        <f t="shared" si="4"/>
        <v>162</v>
      </c>
      <c r="Q9" s="7">
        <f t="shared" si="4"/>
        <v>171</v>
      </c>
      <c r="R9" s="7">
        <f t="shared" si="4"/>
        <v>180</v>
      </c>
    </row>
    <row r="10" spans="1:18" x14ac:dyDescent="0.25">
      <c r="A10" s="15"/>
      <c r="B10" s="9">
        <v>10</v>
      </c>
      <c r="C10" s="10">
        <f>$B$10*C4</f>
        <v>50</v>
      </c>
      <c r="D10" s="10">
        <f t="shared" ref="D10:R10" si="5">$B$10*D4</f>
        <v>60</v>
      </c>
      <c r="E10" s="10">
        <f t="shared" si="5"/>
        <v>70</v>
      </c>
      <c r="F10" s="10">
        <f t="shared" si="5"/>
        <v>80</v>
      </c>
      <c r="G10" s="10">
        <f t="shared" si="5"/>
        <v>90</v>
      </c>
      <c r="H10" s="10">
        <f t="shared" si="5"/>
        <v>100</v>
      </c>
      <c r="I10" s="10">
        <f t="shared" si="5"/>
        <v>110</v>
      </c>
      <c r="J10" s="10">
        <f t="shared" si="5"/>
        <v>120</v>
      </c>
      <c r="K10" s="10">
        <f t="shared" si="5"/>
        <v>130</v>
      </c>
      <c r="L10" s="10">
        <f t="shared" si="5"/>
        <v>140</v>
      </c>
      <c r="M10" s="10">
        <f t="shared" si="5"/>
        <v>150</v>
      </c>
      <c r="N10" s="10">
        <f t="shared" si="5"/>
        <v>160</v>
      </c>
      <c r="O10" s="10">
        <f t="shared" si="5"/>
        <v>170</v>
      </c>
      <c r="P10" s="10">
        <f t="shared" si="5"/>
        <v>180</v>
      </c>
      <c r="Q10" s="10">
        <f t="shared" si="5"/>
        <v>190</v>
      </c>
      <c r="R10" s="10">
        <f t="shared" si="5"/>
        <v>200</v>
      </c>
    </row>
    <row r="11" spans="1:18" x14ac:dyDescent="0.25">
      <c r="A11" s="15"/>
      <c r="B11" s="9">
        <v>11</v>
      </c>
      <c r="C11" s="7">
        <f>$B$11*C4</f>
        <v>55</v>
      </c>
      <c r="D11" s="7">
        <f t="shared" ref="D11:R11" si="6">$B$11*D4</f>
        <v>66</v>
      </c>
      <c r="E11" s="7">
        <f t="shared" si="6"/>
        <v>77</v>
      </c>
      <c r="F11" s="7">
        <f t="shared" si="6"/>
        <v>88</v>
      </c>
      <c r="G11" s="7">
        <f t="shared" si="6"/>
        <v>99</v>
      </c>
      <c r="H11" s="7">
        <f t="shared" si="6"/>
        <v>110</v>
      </c>
      <c r="I11" s="7">
        <f t="shared" si="6"/>
        <v>121</v>
      </c>
      <c r="J11" s="7">
        <f t="shared" si="6"/>
        <v>132</v>
      </c>
      <c r="K11" s="7">
        <f t="shared" si="6"/>
        <v>143</v>
      </c>
      <c r="L11" s="7">
        <f t="shared" si="6"/>
        <v>154</v>
      </c>
      <c r="M11" s="7">
        <f t="shared" si="6"/>
        <v>165</v>
      </c>
      <c r="N11" s="7">
        <f t="shared" si="6"/>
        <v>176</v>
      </c>
      <c r="O11" s="7">
        <f t="shared" si="6"/>
        <v>187</v>
      </c>
      <c r="P11" s="7">
        <f t="shared" si="6"/>
        <v>198</v>
      </c>
      <c r="Q11" s="7">
        <f t="shared" si="6"/>
        <v>209</v>
      </c>
      <c r="R11" s="7">
        <f t="shared" si="6"/>
        <v>220</v>
      </c>
    </row>
    <row r="12" spans="1:18" x14ac:dyDescent="0.25">
      <c r="A12" s="15"/>
      <c r="B12" s="9">
        <v>12</v>
      </c>
      <c r="C12" s="10">
        <f>$B$12*C4</f>
        <v>60</v>
      </c>
      <c r="D12" s="10">
        <f t="shared" ref="D12:R12" si="7">$B$12*D4</f>
        <v>72</v>
      </c>
      <c r="E12" s="10">
        <f t="shared" si="7"/>
        <v>84</v>
      </c>
      <c r="F12" s="10">
        <f t="shared" si="7"/>
        <v>96</v>
      </c>
      <c r="G12" s="10">
        <f t="shared" si="7"/>
        <v>108</v>
      </c>
      <c r="H12" s="10">
        <f t="shared" si="7"/>
        <v>120</v>
      </c>
      <c r="I12" s="10">
        <f t="shared" si="7"/>
        <v>132</v>
      </c>
      <c r="J12" s="10">
        <f t="shared" si="7"/>
        <v>144</v>
      </c>
      <c r="K12" s="10">
        <f t="shared" si="7"/>
        <v>156</v>
      </c>
      <c r="L12" s="10">
        <f t="shared" si="7"/>
        <v>168</v>
      </c>
      <c r="M12" s="10">
        <f t="shared" si="7"/>
        <v>180</v>
      </c>
      <c r="N12" s="10">
        <f t="shared" si="7"/>
        <v>192</v>
      </c>
      <c r="O12" s="10">
        <f t="shared" si="7"/>
        <v>204</v>
      </c>
      <c r="P12" s="10">
        <f>$B$12*P4</f>
        <v>216</v>
      </c>
      <c r="Q12" s="10">
        <f t="shared" si="7"/>
        <v>228</v>
      </c>
      <c r="R12" s="10">
        <f t="shared" si="7"/>
        <v>240</v>
      </c>
    </row>
    <row r="13" spans="1:18" x14ac:dyDescent="0.25">
      <c r="A13" s="15"/>
      <c r="B13" s="9">
        <v>13</v>
      </c>
      <c r="C13" s="7">
        <f>$B$13*C4</f>
        <v>65</v>
      </c>
      <c r="D13" s="7">
        <f t="shared" ref="D13:R13" si="8">$B$13*D4</f>
        <v>78</v>
      </c>
      <c r="E13" s="7">
        <f t="shared" si="8"/>
        <v>91</v>
      </c>
      <c r="F13" s="7">
        <f t="shared" si="8"/>
        <v>104</v>
      </c>
      <c r="G13" s="7">
        <f t="shared" si="8"/>
        <v>117</v>
      </c>
      <c r="H13" s="7">
        <f t="shared" si="8"/>
        <v>130</v>
      </c>
      <c r="I13" s="7">
        <f t="shared" si="8"/>
        <v>143</v>
      </c>
      <c r="J13" s="7">
        <f t="shared" si="8"/>
        <v>156</v>
      </c>
      <c r="K13" s="7">
        <f t="shared" si="8"/>
        <v>169</v>
      </c>
      <c r="L13" s="7">
        <f t="shared" si="8"/>
        <v>182</v>
      </c>
      <c r="M13" s="7">
        <f t="shared" si="8"/>
        <v>195</v>
      </c>
      <c r="N13" s="7">
        <f t="shared" si="8"/>
        <v>208</v>
      </c>
      <c r="O13" s="7">
        <f t="shared" si="8"/>
        <v>221</v>
      </c>
      <c r="P13" s="7">
        <f>$B$13*P4</f>
        <v>234</v>
      </c>
      <c r="Q13" s="7">
        <f t="shared" si="8"/>
        <v>247</v>
      </c>
      <c r="R13" s="7">
        <f t="shared" si="8"/>
        <v>260</v>
      </c>
    </row>
    <row r="14" spans="1:18" x14ac:dyDescent="0.25">
      <c r="A14" s="15"/>
      <c r="B14" s="9">
        <v>14</v>
      </c>
      <c r="C14" s="10">
        <f>$B$14*C4</f>
        <v>70</v>
      </c>
      <c r="D14" s="10">
        <f t="shared" ref="D14:R14" si="9">$B$14*D4</f>
        <v>84</v>
      </c>
      <c r="E14" s="10">
        <f t="shared" si="9"/>
        <v>98</v>
      </c>
      <c r="F14" s="10">
        <f t="shared" si="9"/>
        <v>112</v>
      </c>
      <c r="G14" s="10">
        <f>$B$14*G4</f>
        <v>126</v>
      </c>
      <c r="H14" s="10">
        <f>$B$14*H4</f>
        <v>140</v>
      </c>
      <c r="I14" s="10">
        <f t="shared" si="9"/>
        <v>154</v>
      </c>
      <c r="J14" s="10">
        <f t="shared" si="9"/>
        <v>168</v>
      </c>
      <c r="K14" s="10">
        <f t="shared" si="9"/>
        <v>182</v>
      </c>
      <c r="L14" s="10">
        <f t="shared" si="9"/>
        <v>196</v>
      </c>
      <c r="M14" s="10">
        <f t="shared" si="9"/>
        <v>210</v>
      </c>
      <c r="N14" s="10">
        <f t="shared" si="9"/>
        <v>224</v>
      </c>
      <c r="O14" s="10">
        <f t="shared" si="9"/>
        <v>238</v>
      </c>
      <c r="P14" s="10">
        <f>$B$14*P4</f>
        <v>252</v>
      </c>
      <c r="Q14" s="10">
        <f t="shared" si="9"/>
        <v>266</v>
      </c>
      <c r="R14" s="10">
        <f t="shared" si="9"/>
        <v>280</v>
      </c>
    </row>
    <row r="15" spans="1:18" x14ac:dyDescent="0.25">
      <c r="A15" s="15"/>
      <c r="B15" s="9">
        <v>15</v>
      </c>
      <c r="C15" s="7">
        <f>$B$15*C4</f>
        <v>75</v>
      </c>
      <c r="D15" s="7">
        <f t="shared" ref="D15:R15" si="10">$B$15*D4</f>
        <v>90</v>
      </c>
      <c r="E15" s="7">
        <f t="shared" si="10"/>
        <v>105</v>
      </c>
      <c r="F15" s="7">
        <f t="shared" si="10"/>
        <v>120</v>
      </c>
      <c r="G15" s="7">
        <f>$B$15*G4</f>
        <v>135</v>
      </c>
      <c r="H15" s="7">
        <f>$B$15*H4</f>
        <v>150</v>
      </c>
      <c r="I15" s="7">
        <f t="shared" si="10"/>
        <v>165</v>
      </c>
      <c r="J15" s="7">
        <f t="shared" si="10"/>
        <v>180</v>
      </c>
      <c r="K15" s="7">
        <f t="shared" si="10"/>
        <v>195</v>
      </c>
      <c r="L15" s="7">
        <f t="shared" si="10"/>
        <v>210</v>
      </c>
      <c r="M15" s="7">
        <f t="shared" si="10"/>
        <v>225</v>
      </c>
      <c r="N15" s="7">
        <f t="shared" si="10"/>
        <v>240</v>
      </c>
      <c r="O15" s="7">
        <f t="shared" si="10"/>
        <v>255</v>
      </c>
      <c r="P15" s="7">
        <f>$B$15*P4</f>
        <v>270</v>
      </c>
      <c r="Q15" s="7">
        <f t="shared" si="10"/>
        <v>285</v>
      </c>
      <c r="R15" s="7">
        <f t="shared" si="10"/>
        <v>300</v>
      </c>
    </row>
    <row r="16" spans="1:18" x14ac:dyDescent="0.25">
      <c r="A16" s="15"/>
      <c r="B16" s="9">
        <v>16</v>
      </c>
      <c r="C16" s="10">
        <f>$B$16*C4</f>
        <v>80</v>
      </c>
      <c r="D16" s="10">
        <f t="shared" ref="D16:R16" si="11">$B$16*D4</f>
        <v>96</v>
      </c>
      <c r="E16" s="10">
        <f t="shared" si="11"/>
        <v>112</v>
      </c>
      <c r="F16" s="10">
        <f t="shared" si="11"/>
        <v>128</v>
      </c>
      <c r="G16" s="10">
        <f>$B$16*G4</f>
        <v>144</v>
      </c>
      <c r="H16" s="10">
        <f>$B$16*H4</f>
        <v>160</v>
      </c>
      <c r="I16" s="10">
        <f t="shared" si="11"/>
        <v>176</v>
      </c>
      <c r="J16" s="10">
        <f t="shared" si="11"/>
        <v>192</v>
      </c>
      <c r="K16" s="10">
        <f t="shared" si="11"/>
        <v>208</v>
      </c>
      <c r="L16" s="10">
        <f t="shared" si="11"/>
        <v>224</v>
      </c>
      <c r="M16" s="10">
        <f t="shared" si="11"/>
        <v>240</v>
      </c>
      <c r="N16" s="10">
        <f t="shared" si="11"/>
        <v>256</v>
      </c>
      <c r="O16" s="10">
        <f t="shared" si="11"/>
        <v>272</v>
      </c>
      <c r="P16" s="10">
        <f>$B$16*P4</f>
        <v>288</v>
      </c>
      <c r="Q16" s="10">
        <f t="shared" si="11"/>
        <v>304</v>
      </c>
      <c r="R16" s="10">
        <f t="shared" si="11"/>
        <v>320</v>
      </c>
    </row>
    <row r="17" spans="1:18" x14ac:dyDescent="0.25">
      <c r="A17" s="15"/>
      <c r="B17" s="9">
        <v>17</v>
      </c>
      <c r="C17" s="7">
        <f>$B$17*C4</f>
        <v>85</v>
      </c>
      <c r="D17" s="7">
        <f t="shared" ref="D17:Q17" si="12">$B$17*D4</f>
        <v>102</v>
      </c>
      <c r="E17" s="7">
        <f t="shared" si="12"/>
        <v>119</v>
      </c>
      <c r="F17" s="7">
        <f t="shared" si="12"/>
        <v>136</v>
      </c>
      <c r="G17" s="7">
        <f>$B$17*G4</f>
        <v>153</v>
      </c>
      <c r="H17" s="7">
        <f>$B$17*H4</f>
        <v>170</v>
      </c>
      <c r="I17" s="7">
        <f t="shared" si="12"/>
        <v>187</v>
      </c>
      <c r="J17" s="7">
        <f t="shared" si="12"/>
        <v>204</v>
      </c>
      <c r="K17" s="7">
        <f t="shared" si="12"/>
        <v>221</v>
      </c>
      <c r="L17" s="7">
        <f t="shared" si="12"/>
        <v>238</v>
      </c>
      <c r="M17" s="7">
        <f t="shared" si="12"/>
        <v>255</v>
      </c>
      <c r="N17" s="7">
        <f t="shared" si="12"/>
        <v>272</v>
      </c>
      <c r="O17" s="7">
        <f t="shared" si="12"/>
        <v>289</v>
      </c>
      <c r="P17" s="7">
        <f t="shared" si="12"/>
        <v>306</v>
      </c>
      <c r="Q17" s="7">
        <f t="shared" si="12"/>
        <v>323</v>
      </c>
      <c r="R17" s="7">
        <f>$B$17*R4</f>
        <v>340</v>
      </c>
    </row>
    <row r="18" spans="1:18" x14ac:dyDescent="0.25">
      <c r="A18" s="15"/>
      <c r="B18" s="9">
        <v>18</v>
      </c>
      <c r="C18" s="10">
        <f>$B$18*C4</f>
        <v>90</v>
      </c>
      <c r="D18" s="10">
        <f t="shared" ref="D18:R18" si="13">$B$18*D4</f>
        <v>108</v>
      </c>
      <c r="E18" s="10">
        <f t="shared" si="13"/>
        <v>126</v>
      </c>
      <c r="F18" s="10">
        <f t="shared" si="13"/>
        <v>144</v>
      </c>
      <c r="G18" s="10">
        <f t="shared" si="13"/>
        <v>162</v>
      </c>
      <c r="H18" s="10">
        <f t="shared" si="13"/>
        <v>180</v>
      </c>
      <c r="I18" s="10">
        <f t="shared" si="13"/>
        <v>198</v>
      </c>
      <c r="J18" s="10">
        <f t="shared" si="13"/>
        <v>216</v>
      </c>
      <c r="K18" s="10">
        <f t="shared" si="13"/>
        <v>234</v>
      </c>
      <c r="L18" s="10">
        <f t="shared" si="13"/>
        <v>252</v>
      </c>
      <c r="M18" s="10">
        <f t="shared" si="13"/>
        <v>270</v>
      </c>
      <c r="N18" s="10">
        <f t="shared" si="13"/>
        <v>288</v>
      </c>
      <c r="O18" s="10">
        <f t="shared" si="13"/>
        <v>306</v>
      </c>
      <c r="P18" s="10">
        <f t="shared" si="13"/>
        <v>324</v>
      </c>
      <c r="Q18" s="10">
        <f t="shared" si="13"/>
        <v>342</v>
      </c>
      <c r="R18" s="10">
        <f t="shared" si="13"/>
        <v>360</v>
      </c>
    </row>
    <row r="19" spans="1:18" x14ac:dyDescent="0.25">
      <c r="A19" s="15"/>
      <c r="B19" s="9">
        <v>19</v>
      </c>
      <c r="C19" s="7">
        <f>$B$19*C4</f>
        <v>95</v>
      </c>
      <c r="D19" s="7">
        <f t="shared" ref="D19:R19" si="14">$B$19*D4</f>
        <v>114</v>
      </c>
      <c r="E19" s="7">
        <f t="shared" si="14"/>
        <v>133</v>
      </c>
      <c r="F19" s="7">
        <f t="shared" si="14"/>
        <v>152</v>
      </c>
      <c r="G19" s="7">
        <f t="shared" si="14"/>
        <v>171</v>
      </c>
      <c r="H19" s="7">
        <f t="shared" si="14"/>
        <v>190</v>
      </c>
      <c r="I19" s="7">
        <f t="shared" si="14"/>
        <v>209</v>
      </c>
      <c r="J19" s="7">
        <f t="shared" si="14"/>
        <v>228</v>
      </c>
      <c r="K19" s="7">
        <f t="shared" si="14"/>
        <v>247</v>
      </c>
      <c r="L19" s="7">
        <f t="shared" si="14"/>
        <v>266</v>
      </c>
      <c r="M19" s="7">
        <f t="shared" si="14"/>
        <v>285</v>
      </c>
      <c r="N19" s="7">
        <f t="shared" si="14"/>
        <v>304</v>
      </c>
      <c r="O19" s="7">
        <f t="shared" si="14"/>
        <v>323</v>
      </c>
      <c r="P19" s="7">
        <f t="shared" si="14"/>
        <v>342</v>
      </c>
      <c r="Q19" s="7">
        <f t="shared" si="14"/>
        <v>361</v>
      </c>
      <c r="R19" s="7">
        <f t="shared" si="14"/>
        <v>380</v>
      </c>
    </row>
    <row r="20" spans="1:18" x14ac:dyDescent="0.25">
      <c r="A20" s="15"/>
      <c r="B20" s="9">
        <v>20</v>
      </c>
      <c r="C20" s="10">
        <f>$B$20*C4</f>
        <v>100</v>
      </c>
      <c r="D20" s="10">
        <f t="shared" ref="D20:R20" si="15">$B$20*D4</f>
        <v>120</v>
      </c>
      <c r="E20" s="10">
        <f t="shared" si="15"/>
        <v>140</v>
      </c>
      <c r="F20" s="10">
        <f t="shared" si="15"/>
        <v>160</v>
      </c>
      <c r="G20" s="10">
        <f t="shared" si="15"/>
        <v>180</v>
      </c>
      <c r="H20" s="10">
        <f t="shared" si="15"/>
        <v>200</v>
      </c>
      <c r="I20" s="10">
        <f t="shared" si="15"/>
        <v>220</v>
      </c>
      <c r="J20" s="10">
        <f t="shared" si="15"/>
        <v>240</v>
      </c>
      <c r="K20" s="10">
        <f t="shared" si="15"/>
        <v>260</v>
      </c>
      <c r="L20" s="10">
        <f t="shared" si="15"/>
        <v>280</v>
      </c>
      <c r="M20" s="10">
        <f t="shared" si="15"/>
        <v>300</v>
      </c>
      <c r="N20" s="10">
        <f t="shared" si="15"/>
        <v>320</v>
      </c>
      <c r="O20" s="10">
        <f t="shared" si="15"/>
        <v>340</v>
      </c>
      <c r="P20" s="10">
        <f t="shared" si="15"/>
        <v>360</v>
      </c>
      <c r="Q20" s="10">
        <f t="shared" si="15"/>
        <v>380</v>
      </c>
      <c r="R20" s="10">
        <f t="shared" si="15"/>
        <v>400</v>
      </c>
    </row>
    <row r="21" spans="1:18" x14ac:dyDescent="0.25">
      <c r="A21" s="15"/>
      <c r="B21" s="9">
        <v>21</v>
      </c>
      <c r="C21" s="7">
        <f>$B$21*C4</f>
        <v>105</v>
      </c>
      <c r="D21" s="7">
        <f t="shared" ref="D21:R21" si="16">$B$21*D4</f>
        <v>126</v>
      </c>
      <c r="E21" s="7">
        <f t="shared" si="16"/>
        <v>147</v>
      </c>
      <c r="F21" s="7">
        <f t="shared" si="16"/>
        <v>168</v>
      </c>
      <c r="G21" s="7">
        <f t="shared" si="16"/>
        <v>189</v>
      </c>
      <c r="H21" s="7">
        <f t="shared" si="16"/>
        <v>210</v>
      </c>
      <c r="I21" s="7">
        <f t="shared" si="16"/>
        <v>231</v>
      </c>
      <c r="J21" s="7">
        <f t="shared" si="16"/>
        <v>252</v>
      </c>
      <c r="K21" s="7">
        <f t="shared" si="16"/>
        <v>273</v>
      </c>
      <c r="L21" s="7">
        <f t="shared" si="16"/>
        <v>294</v>
      </c>
      <c r="M21" s="7">
        <f t="shared" si="16"/>
        <v>315</v>
      </c>
      <c r="N21" s="7">
        <f t="shared" si="16"/>
        <v>336</v>
      </c>
      <c r="O21" s="7">
        <f t="shared" si="16"/>
        <v>357</v>
      </c>
      <c r="P21" s="7">
        <f t="shared" si="16"/>
        <v>378</v>
      </c>
      <c r="Q21" s="7">
        <f t="shared" si="16"/>
        <v>399</v>
      </c>
      <c r="R21" s="7">
        <f t="shared" si="16"/>
        <v>420</v>
      </c>
    </row>
  </sheetData>
  <mergeCells count="2">
    <mergeCell ref="A4:A21"/>
    <mergeCell ref="B3:R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DABDB5-C70E-464E-BE2F-6DABB02DFD8A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8716bbdc-2b9e-4b6c-9f5d-91220b825f80"/>
    <ds:schemaRef ds:uri="http://schemas.microsoft.com/office/infopath/2007/PartnerControls"/>
    <ds:schemaRef ds:uri="http://schemas.openxmlformats.org/package/2006/metadata/core-properties"/>
    <ds:schemaRef ds:uri="5f220dc0-27a6-4f79-8ef7-91d1414d0c8a"/>
  </ds:schemaRefs>
</ds:datastoreItem>
</file>

<file path=customXml/itemProps2.xml><?xml version="1.0" encoding="utf-8"?>
<ds:datastoreItem xmlns:ds="http://schemas.openxmlformats.org/officeDocument/2006/customXml" ds:itemID="{E195D161-874F-48C6-B1C9-5E3B986D6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F4EC86-8916-4D7C-A8FB-DD019BD3B9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Počasí ve světě</vt:lpstr>
      <vt:lpstr>Přehled cen</vt:lpstr>
      <vt:lpstr>Střechy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2023-03-20T16:27:11Z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