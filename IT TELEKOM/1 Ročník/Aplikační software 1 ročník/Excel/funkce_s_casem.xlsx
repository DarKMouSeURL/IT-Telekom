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33" documentId="8_{A1D429C8-DD4B-4627-AD37-B8A0413ABE10}" xr6:coauthVersionLast="47" xr6:coauthVersionMax="47" xr10:uidLastSave="{9CE9434B-0976-44C1-BAFD-E02F16062265}"/>
  <bookViews>
    <workbookView xWindow="-120" yWindow="-120" windowWidth="25440" windowHeight="1539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10" i="1" a="1"/>
  <c r="F10" i="1" s="1"/>
  <c r="E9" i="1"/>
  <c r="E8" i="1"/>
  <c r="E7" i="1"/>
  <c r="E6" i="1"/>
  <c r="E5" i="1"/>
  <c r="E4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<sst xmlns="http://schemas.openxmlformats.org/spreadsheetml/2006/main" count="15" uniqueCount="15">
  <si>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1.</t>
  </si>
  <si>
    <t>aktuální datum</t>
  </si>
  <si>
    <t>před 100 dny</t>
  </si>
  <si>
    <t>2.</t>
  </si>
  <si>
    <t>3.</t>
  </si>
  <si>
    <t>4.</t>
  </si>
  <si>
    <t>5.</t>
  </si>
  <si>
    <t>6.</t>
  </si>
  <si>
    <t>7.</t>
  </si>
  <si>
    <t>za 500 dní</t>
  </si>
  <si>
    <t>dní do konce roku</t>
  </si>
  <si>
    <t>dní do konce školního roku</t>
  </si>
  <si>
    <t>trvání 2. světové</t>
  </si>
  <si>
    <t>kolik dní od narození?</t>
  </si>
  <si>
    <t>který to byl den v týdnu?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</si>
</sst>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"/>
  <sheetViews>
    <sheetView tabSelected="1" workbookViewId="0">
      <selection activeCell="F10" sqref="F10"/>
    </sheetView>
  </sheetViews>
  <sheetFormatPr defaultRowHeight="15" x14ac:dyDescent="0.25"/>
  <cols>
    <col min="2" max="2" width="3.140625" customWidth="1"/>
    <col min="4" max="4" width="15.28515625" customWidth="1"/>
    <col min="5" max="5" width="11.85546875" bestFit="1" customWidth="1"/>
    <col min="6" max="6" width="18.5703125" bestFit="1" customWidth="1"/>
  </cols>
  <sheetData>
    <row r="1" spans="2:6" ht="15.75" thickBot="1" x14ac:dyDescent="0.3"/>
    <row r="2" spans="2:6" ht="15.75" thickBot="1" x14ac:dyDescent="0.3">
      <c r="C2" s="3" t="s">
        <v>1</v>
      </c>
      <c r="D2" s="4"/>
      <c r="E2" s="5">
        <f ca="1">TODAY()</f>
        <v>45008</v>
      </c>
    </row>
    <row r="3" spans="2:6" ht="15.75" thickBot="1" x14ac:dyDescent="0.3">
      <c r="C3" s="2"/>
      <c r="D3" s="2"/>
      <c r="E3" s="1"/>
    </row>
    <row r="4" spans="2:6" x14ac:dyDescent="0.25">
      <c r="B4" s="6" t="s">
        <v>0</v>
      </c>
      <c r="C4" s="9" t="s">
        <v>2</v>
      </c>
      <c r="D4" s="10"/>
      <c r="E4" s="13">
        <f ca="1">TODAY()-100</f>
        <v>44908</v>
      </c>
    </row>
    <row r="5" spans="2:6" x14ac:dyDescent="0.25">
      <c r="B5" s="7" t="s">
        <v>3</v>
      </c>
      <c r="C5" s="11" t="s">
        <v>9</v>
      </c>
      <c r="D5" s="12"/>
      <c r="E5" s="14">
        <f ca="1">TODAY()+500</f>
        <v>45508</v>
      </c>
    </row>
    <row r="6" spans="2:6" x14ac:dyDescent="0.25">
      <c r="B6" s="7" t="s">
        <v>4</v>
      </c>
      <c r="C6" s="11" t="s">
        <v>10</v>
      </c>
      <c r="D6" s="12"/>
      <c r="E6" s="15">
        <f ca="1">_xlfn.DAYS("30.12.2023",TODAY())</f>
        <v>282</v>
      </c>
    </row>
    <row r="7" spans="2:6" x14ac:dyDescent="0.25">
      <c r="B7" s="7" t="s">
        <v>5</v>
      </c>
      <c r="C7" s="11" t="s">
        <v>11</v>
      </c>
      <c r="D7" s="12"/>
      <c r="E7" s="15">
        <f ca="1">_xlfn.DAYS("30.6.2023",TODAY())</f>
        <v>99</v>
      </c>
    </row>
    <row r="8" spans="2:6" x14ac:dyDescent="0.25">
      <c r="B8" s="7" t="s">
        <v>6</v>
      </c>
      <c r="C8" s="11" t="s">
        <v>12</v>
      </c>
      <c r="D8" s="12"/>
      <c r="E8" s="15">
        <f>_xlfn.DAYS("2.9.1945","1.9.1939")</f>
        <v>2193</v>
      </c>
    </row>
    <row r="9" spans="2:6" x14ac:dyDescent="0.25">
      <c r="B9" s="7" t="s">
        <v>7</v>
      </c>
      <c r="C9" s="17" t="s">
        <v>13</v>
      </c>
      <c r="D9" s="18"/>
      <c r="E9" s="15">
        <f ca="1">_xlfn.DAYS(TODAY(),"1.2.2006")</f>
        <v>6259</v>
      </c>
    </row>
    <row r="10" spans="2:6" ht="15.75" thickBot="1" x14ac:dyDescent="0.3">
      <c r="B10" s="8" t="s">
        <v>8</v>
      </c>
      <c r="C10" s="19" t="s">
        <v>14</v>
      </c>
      <c r="D10" s="20"/>
      <c r="E10" s="16">
        <f>WEEKDAY("1.2.2006",2)</f>
        <v>3</v>
      </c>
      <c r="F10" t="str" cm="1">
        <f t="array" ref="F10">_xlfn.IFS(E10=1,"pondělí",E10=2,"úterý",E10=3,"středa",E10=4,"čtvrtek",E10=5,"pátek",E10=6,"neděle",E10=7,"neděle")</f>
        <v>středa</v>
      </c>
    </row>
  </sheetData>
  <mergeCells count="8">
    <mergeCell ref="C9:D9"/>
    <mergeCell ref="C10:D10"/>
    <mergeCell ref="C5:D5"/>
    <mergeCell ref="C4:D4"/>
    <mergeCell ref="C2:D2"/>
    <mergeCell ref="C6:D6"/>
    <mergeCell ref="C7:D7"/>
    <mergeCell ref="C8:D8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Props1.xml><?xml version="1.0" encoding="utf-8"?>
<ds:datastoreItem xmlns:ds="http://schemas.openxmlformats.org/officeDocument/2006/customXml" ds:itemID="{70512E1F-B8ED-4015-BF7E-4E022E4C9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220dc0-27a6-4f79-8ef7-91d1414d0c8a"/>
    <ds:schemaRef ds:uri="8716bbdc-2b9e-4b6c-9f5d-91220b825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B2A6F7-7415-44A4-9602-4F49E9088F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B95AC7-0C05-4118-BF93-834E0DA5C157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5f220dc0-27a6-4f79-8ef7-91d1414d0c8a"/>
    <ds:schemaRef ds:uri="http://schemas.openxmlformats.org/package/2006/metadata/core-properties"/>
    <ds:schemaRef ds:uri="http://purl.org/dc/dcmitype/"/>
    <ds:schemaRef ds:uri="8716bbdc-2b9e-4b6c-9f5d-91220b825f80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2023-03-23T08:48:58Z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